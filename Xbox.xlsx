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slicers/slicer3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du\Downloads\"/>
    </mc:Choice>
  </mc:AlternateContent>
  <xr:revisionPtr revIDLastSave="0" documentId="8_{8CC32AF3-15C7-45FF-A76D-39233D56324D}" xr6:coauthVersionLast="47" xr6:coauthVersionMax="47" xr10:uidLastSave="{00000000-0000-0000-0000-000000000000}"/>
  <bookViews>
    <workbookView xWindow="-120" yWindow="-120" windowWidth="29040" windowHeight="15720" tabRatio="3" activeTab="2" xr2:uid="{00000000-000D-0000-FFFF-FFFF00000000}"/>
  </bookViews>
  <sheets>
    <sheet name="Dados_Vendas" sheetId="1" r:id="rId1"/>
    <sheet name="Controle" sheetId="3" r:id="rId2"/>
    <sheet name="Dashboard" sheetId="4" r:id="rId3"/>
  </sheets>
  <definedNames>
    <definedName name="SegmentaçãodeDados_Categoria">#N/A</definedName>
    <definedName name="SegmentaçãodeDados_Região">#N/A</definedName>
    <definedName name="SegmentaçãodeDados_Vendedor">#N/A</definedName>
  </definedNames>
  <calcPr calcId="191028"/>
  <pivotCaches>
    <pivotCache cacheId="376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<sst xmlns="http://schemas.openxmlformats.org/spreadsheetml/2006/main" count="792" uniqueCount="192">
  <si>
    <t>ID_Venda</t>
  </si>
  <si>
    <t>Data</t>
  </si>
  <si>
    <t>Produto</t>
  </si>
  <si>
    <t>Categoria</t>
  </si>
  <si>
    <t>Quantidade</t>
  </si>
  <si>
    <t>Preço Unitário</t>
  </si>
  <si>
    <t>Faturamento</t>
  </si>
  <si>
    <t>Custo Total</t>
  </si>
  <si>
    <t>Lucro</t>
  </si>
  <si>
    <t>Região</t>
  </si>
  <si>
    <t>Vendedor</t>
  </si>
  <si>
    <t>V1058</t>
  </si>
  <si>
    <t>Starfield</t>
  </si>
  <si>
    <t>Jogo</t>
  </si>
  <si>
    <t>Centro-Oeste</t>
  </si>
  <si>
    <t>Elena Rocha</t>
  </si>
  <si>
    <t>V1032</t>
  </si>
  <si>
    <t>Controle Sem Fio Xbox</t>
  </si>
  <si>
    <t>Acessório</t>
  </si>
  <si>
    <t>Ana Silva</t>
  </si>
  <si>
    <t>V1000</t>
  </si>
  <si>
    <t>Xbox Series X</t>
  </si>
  <si>
    <t>Console</t>
  </si>
  <si>
    <t>Sudeste</t>
  </si>
  <si>
    <t>V1047</t>
  </si>
  <si>
    <t>V1111</t>
  </si>
  <si>
    <t>Halo Infinite</t>
  </si>
  <si>
    <t>V1091</t>
  </si>
  <si>
    <t>Forza Horizon 5</t>
  </si>
  <si>
    <t>Nordeste</t>
  </si>
  <si>
    <t>V1018</t>
  </si>
  <si>
    <t>Norte</t>
  </si>
  <si>
    <t>V1050</t>
  </si>
  <si>
    <t>V1048</t>
  </si>
  <si>
    <t>V1080</t>
  </si>
  <si>
    <t>Assinatura Game Pass Ultimate (3 meses)</t>
  </si>
  <si>
    <t>Serviço</t>
  </si>
  <si>
    <t>Bruno Costa</t>
  </si>
  <si>
    <t>V1092</t>
  </si>
  <si>
    <t>Headset Sem Fio Xbox</t>
  </si>
  <si>
    <t>Diego Lima</t>
  </si>
  <si>
    <t>V1013</t>
  </si>
  <si>
    <t>V1090</t>
  </si>
  <si>
    <t>Xbox Series S</t>
  </si>
  <si>
    <t>V1024</t>
  </si>
  <si>
    <t>V1110</t>
  </si>
  <si>
    <t>V1109</t>
  </si>
  <si>
    <t>V1037</t>
  </si>
  <si>
    <t>Sul</t>
  </si>
  <si>
    <t>Carla Souza</t>
  </si>
  <si>
    <t>V1124</t>
  </si>
  <si>
    <t>V1125</t>
  </si>
  <si>
    <t>V1106</t>
  </si>
  <si>
    <t>V1036</t>
  </si>
  <si>
    <t>V1104</t>
  </si>
  <si>
    <t>V1103</t>
  </si>
  <si>
    <t>V1094</t>
  </si>
  <si>
    <t>V1101</t>
  </si>
  <si>
    <t>V1040</t>
  </si>
  <si>
    <t>V1072</t>
  </si>
  <si>
    <t>V1043</t>
  </si>
  <si>
    <t>V1078</t>
  </si>
  <si>
    <t>V1059</t>
  </si>
  <si>
    <t>V1098</t>
  </si>
  <si>
    <t>V1056</t>
  </si>
  <si>
    <t>V1062</t>
  </si>
  <si>
    <t>V1004</t>
  </si>
  <si>
    <t>V1082</t>
  </si>
  <si>
    <t>V1121</t>
  </si>
  <si>
    <t>V1102</t>
  </si>
  <si>
    <t>V1063</t>
  </si>
  <si>
    <t>V1007</t>
  </si>
  <si>
    <t>V1027</t>
  </si>
  <si>
    <t>V1097</t>
  </si>
  <si>
    <t>V1002</t>
  </si>
  <si>
    <t>V1143</t>
  </si>
  <si>
    <t>V1087</t>
  </si>
  <si>
    <t>V1074</t>
  </si>
  <si>
    <t>V1130</t>
  </si>
  <si>
    <t>V1023</t>
  </si>
  <si>
    <t>V1011</t>
  </si>
  <si>
    <t>V1017</t>
  </si>
  <si>
    <t>V1148</t>
  </si>
  <si>
    <t>V1021</t>
  </si>
  <si>
    <t>V1127</t>
  </si>
  <si>
    <t>V1084</t>
  </si>
  <si>
    <t>V1107</t>
  </si>
  <si>
    <t>V1012</t>
  </si>
  <si>
    <t>V1132</t>
  </si>
  <si>
    <t>V1095</t>
  </si>
  <si>
    <t>V1085</t>
  </si>
  <si>
    <t>V1069</t>
  </si>
  <si>
    <t>V1008</t>
  </si>
  <si>
    <t>V1049</t>
  </si>
  <si>
    <t>V1105</t>
  </si>
  <si>
    <t>V1061</t>
  </si>
  <si>
    <t>V1001</t>
  </si>
  <si>
    <t>V1146</t>
  </si>
  <si>
    <t>V1077</t>
  </si>
  <si>
    <t>V1129</t>
  </si>
  <si>
    <t>V1112</t>
  </si>
  <si>
    <t>V1038</t>
  </si>
  <si>
    <t>V1052</t>
  </si>
  <si>
    <t>V1028</t>
  </si>
  <si>
    <t>V1071</t>
  </si>
  <si>
    <t>V1139</t>
  </si>
  <si>
    <t>V1135</t>
  </si>
  <si>
    <t>V1093</t>
  </si>
  <si>
    <t>V1136</t>
  </si>
  <si>
    <t>V1067</t>
  </si>
  <si>
    <t>V1053</t>
  </si>
  <si>
    <t>V1015</t>
  </si>
  <si>
    <t>V1019</t>
  </si>
  <si>
    <t>V1014</t>
  </si>
  <si>
    <t>V1099</t>
  </si>
  <si>
    <t>V1003</t>
  </si>
  <si>
    <t>V1057</t>
  </si>
  <si>
    <t>V1133</t>
  </si>
  <si>
    <t>V1070</t>
  </si>
  <si>
    <t>V1029</t>
  </si>
  <si>
    <t>V1022</t>
  </si>
  <si>
    <t>V1122</t>
  </si>
  <si>
    <t>V1081</t>
  </si>
  <si>
    <t>V1083</t>
  </si>
  <si>
    <t>V1120</t>
  </si>
  <si>
    <t>V1118</t>
  </si>
  <si>
    <t>V1016</t>
  </si>
  <si>
    <t>V1144</t>
  </si>
  <si>
    <t>V1149</t>
  </si>
  <si>
    <t>V1137</t>
  </si>
  <si>
    <t>V1039</t>
  </si>
  <si>
    <t>V1045</t>
  </si>
  <si>
    <t>V1051</t>
  </si>
  <si>
    <t>V1073</t>
  </si>
  <si>
    <t>V1054</t>
  </si>
  <si>
    <t>V1142</t>
  </si>
  <si>
    <t>V1066</t>
  </si>
  <si>
    <t>V1086</t>
  </si>
  <si>
    <t>V1079</t>
  </si>
  <si>
    <t>V1141</t>
  </si>
  <si>
    <t>V1131</t>
  </si>
  <si>
    <t>V1060</t>
  </si>
  <si>
    <t>V1020</t>
  </si>
  <si>
    <t>V1042</t>
  </si>
  <si>
    <t>V1006</t>
  </si>
  <si>
    <t>V1046</t>
  </si>
  <si>
    <t>V1031</t>
  </si>
  <si>
    <t>V1134</t>
  </si>
  <si>
    <t>V1128</t>
  </si>
  <si>
    <t>V1113</t>
  </si>
  <si>
    <t>V1114</t>
  </si>
  <si>
    <t>V1147</t>
  </si>
  <si>
    <t>V1055</t>
  </si>
  <si>
    <t>V1034</t>
  </si>
  <si>
    <t>V1126</t>
  </si>
  <si>
    <t>V1117</t>
  </si>
  <si>
    <t>V1065</t>
  </si>
  <si>
    <t>V1119</t>
  </si>
  <si>
    <t>V1041</t>
  </si>
  <si>
    <t>V1145</t>
  </si>
  <si>
    <t>V1075</t>
  </si>
  <si>
    <t>V1108</t>
  </si>
  <si>
    <t>V1026</t>
  </si>
  <si>
    <t>V1068</t>
  </si>
  <si>
    <t>V1009</t>
  </si>
  <si>
    <t>V1076</t>
  </si>
  <si>
    <t>V1100</t>
  </si>
  <si>
    <t>V1088</t>
  </si>
  <si>
    <t>V1115</t>
  </si>
  <si>
    <t>V1030</t>
  </si>
  <si>
    <t>V1089</t>
  </si>
  <si>
    <t>V1064</t>
  </si>
  <si>
    <t>V1033</t>
  </si>
  <si>
    <t>V1138</t>
  </si>
  <si>
    <t>V1035</t>
  </si>
  <si>
    <t>V1005</t>
  </si>
  <si>
    <t>V1123</t>
  </si>
  <si>
    <t>V1116</t>
  </si>
  <si>
    <t>V1025</t>
  </si>
  <si>
    <t>V1096</t>
  </si>
  <si>
    <t>V1010</t>
  </si>
  <si>
    <t>V1140</t>
  </si>
  <si>
    <t>V1044</t>
  </si>
  <si>
    <t>Rótulos de Linha</t>
  </si>
  <si>
    <t>Soma de Faturamento</t>
  </si>
  <si>
    <t>1. Lucro por Categoria</t>
  </si>
  <si>
    <t>Total Geral</t>
  </si>
  <si>
    <t>Soma de Quantidade</t>
  </si>
  <si>
    <t>2. Quantidade de produtos vendidos.</t>
  </si>
  <si>
    <t>Soma de Faturamento2</t>
  </si>
  <si>
    <t>3. Faturamento por vendedor</t>
  </si>
  <si>
    <t>TOTAL DE VENDAS POR CATEGORIA E POR VENDEDOR NA LOJA XBOX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</si>
</sst>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5"/>
      <color rgb="FF22C55E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2C55E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18">
    <xf numFmtId="0" fontId="0" fillId="0" borderId="0" xfId="0"/>
    <xf numFmtId="164" fontId="0" fillId="0" borderId="0" xfId="0" applyNumberFormat="1"/>
    <xf numFmtId="14" fontId="0" fillId="0" borderId="0" xfId="0" applyNumberFormat="1"/>
    <xf numFmtId="164" fontId="0" fillId="0" borderId="0" xfId="1" applyNumberFormat="1" applyFon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5" fillId="0" borderId="3" xfId="2" applyFont="1" applyBorder="1"/>
    <xf numFmtId="0" fontId="4" fillId="0" borderId="3" xfId="2" applyBorder="1"/>
    <xf numFmtId="0" fontId="0" fillId="0" borderId="0" xfId="0" applyNumberFormat="1"/>
    <xf numFmtId="10" fontId="0" fillId="0" borderId="0" xfId="0" applyNumberFormat="1"/>
  </cellXfs>
  <cellStyles count="3">
    <cellStyle name="Moeda" xfId="1" builtinId="4"/>
    <cellStyle name="Normal" xfId="0" builtinId="0"/>
    <cellStyle name="Título 1" xfId="2" builtinId="16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&quot;R$&quot;\ #,##0.00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9" defaultPivotStyle="PivotStyleLight16">
    <tableStyle name="SlicerStyleLight3 2" pivot="0" table="0" count="10" xr9:uid="{429832EC-3E52-4C60-A050-3F1A1D2AF806}">
      <tableStyleElement type="wholeTable" dxfId="9"/>
      <tableStyleElement type="headerRow" dxfId="8"/>
    </tableStyle>
  </tableStyles>
  <colors>
    <mruColors>
      <color rgb="FF22C55E"/>
      <color rgb="FF1EAE5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[Xbox.xlsx]Controle!Tabela dinâmica3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 cap="rnd">
            <a:noFill/>
            <a:round/>
          </a:ln>
          <a:effectLst/>
        </c:spPr>
        <c:marker>
          <c:symbol val="diamond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Controle!$B$27</c:f>
              <c:strCache>
                <c:ptCount val="1"/>
                <c:pt idx="0">
                  <c:v>Soma de Faturamento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Controle!$A$28:$A$33</c:f>
              <c:strCache>
                <c:ptCount val="5"/>
                <c:pt idx="0">
                  <c:v>Elena Rocha</c:v>
                </c:pt>
                <c:pt idx="1">
                  <c:v>Bruno Costa</c:v>
                </c:pt>
                <c:pt idx="2">
                  <c:v>Diego Lima</c:v>
                </c:pt>
                <c:pt idx="3">
                  <c:v>Ana Silva</c:v>
                </c:pt>
                <c:pt idx="4">
                  <c:v>Carla Souza</c:v>
                </c:pt>
              </c:strCache>
            </c:strRef>
          </c:cat>
          <c:val>
            <c:numRef>
              <c:f>Controle!$B$28:$B$33</c:f>
              <c:numCache>
                <c:formatCode>"R$"\ #,##0.00</c:formatCode>
                <c:ptCount val="5"/>
                <c:pt idx="0">
                  <c:v>175250</c:v>
                </c:pt>
                <c:pt idx="1">
                  <c:v>121350</c:v>
                </c:pt>
                <c:pt idx="2">
                  <c:v>84800</c:v>
                </c:pt>
                <c:pt idx="3">
                  <c:v>65550</c:v>
                </c:pt>
                <c:pt idx="4">
                  <c:v>62700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D-4B64-9A1C-7479C3A6B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7939072"/>
        <c:axId val="367939552"/>
      </c:barChart>
      <c:lineChart>
        <c:grouping val="standard"/>
        <c:varyColors val="0"/>
        <c:ser>
          <c:idx val="1"/>
          <c:order val="1"/>
          <c:tx>
            <c:strRef>
              <c:f>Controle!$C$27</c:f>
              <c:strCache>
                <c:ptCount val="1"/>
                <c:pt idx="0">
                  <c:v>Soma de Faturamento2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Controle!$A$28:$A$33</c:f>
              <c:strCache>
                <c:ptCount val="5"/>
                <c:pt idx="0">
                  <c:v>Elena Rocha</c:v>
                </c:pt>
                <c:pt idx="1">
                  <c:v>Bruno Costa</c:v>
                </c:pt>
                <c:pt idx="2">
                  <c:v>Diego Lima</c:v>
                </c:pt>
                <c:pt idx="3">
                  <c:v>Ana Silva</c:v>
                </c:pt>
                <c:pt idx="4">
                  <c:v>Carla Souza</c:v>
                </c:pt>
              </c:strCache>
            </c:strRef>
          </c:cat>
          <c:val>
            <c:numRef>
              <c:f>Controle!$C$28:$C$33</c:f>
              <c:numCache>
                <c:formatCode>0.00%</c:formatCode>
                <c:ptCount val="5"/>
                <c:pt idx="0">
                  <c:v>0.34386343569116062</c:v>
                </c:pt>
                <c:pt idx="1">
                  <c:v>0.23810458157559108</c:v>
                </c:pt>
                <c:pt idx="2">
                  <c:v>0.16638869812616502</c:v>
                </c:pt>
                <c:pt idx="3">
                  <c:v>0.12861767879917591</c:v>
                </c:pt>
                <c:pt idx="4">
                  <c:v>0.12302560580790739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1-4B72-B135-7E2B023A6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3710983"/>
        <c:axId val="494451208"/>
      </c:lineChart>
      <c:catAx>
        <c:axId val="36793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939552"/>
        <c:crosses val="autoZero"/>
        <c:auto val="1"/>
        <c:lblAlgn val="ctr"/>
        <c:lblOffset val="100"/>
        <c:noMultiLvlLbl val="0"/>
      </c:catAx>
      <c:valAx>
        <c:axId val="367939552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367939072"/>
        <c:crosses val="autoZero"/>
        <c:crossBetween val="between"/>
      </c:valAx>
      <c:valAx>
        <c:axId val="494451208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high"/>
        <c:crossAx val="1763710983"/>
        <c:crosses val="max"/>
        <c:crossBetween val="between"/>
      </c:valAx>
      <c:catAx>
        <c:axId val="1763710983"/>
        <c:scaling>
          <c:orientation val="minMax"/>
        </c:scaling>
        <c:delete val="1"/>
        <c:axPos val="b"/>
        <c:numFmt formatCode="General" sourceLinked="1"/>
        <c:majorTickMark val="out"/>
        <c:minorTickMark val="out"/>
        <c:tickLblPos val="high"/>
        <c:crossAx val="494451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[Xbox.xlsx]Controle!Tabela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595959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Controle!$A$4:$A$8</c:f>
              <c:strCache>
                <c:ptCount val="4"/>
                <c:pt idx="0">
                  <c:v>Acessório</c:v>
                </c:pt>
                <c:pt idx="1">
                  <c:v>Console</c:v>
                </c:pt>
                <c:pt idx="2">
                  <c:v>Jogo</c:v>
                </c:pt>
                <c:pt idx="3">
                  <c:v>Serviço</c:v>
                </c:pt>
              </c:strCache>
            </c:strRef>
          </c:cat>
          <c:val>
            <c:numRef>
              <c:f>Controle!$B$4:$B$8</c:f>
              <c:numCache>
                <c:formatCode>"R$"\ #,##0.00</c:formatCode>
                <c:ptCount val="4"/>
                <c:pt idx="0">
                  <c:v>59300</c:v>
                </c:pt>
                <c:pt idx="1">
                  <c:v>382000</c:v>
                </c:pt>
                <c:pt idx="2">
                  <c:v>57850</c:v>
                </c:pt>
                <c:pt idx="3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6-46AA-826D-6143879C9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2352143"/>
        <c:axId val="1762353103"/>
      </c:barChart>
      <c:catAx>
        <c:axId val="176235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2353103"/>
        <c:crosses val="autoZero"/>
        <c:auto val="1"/>
        <c:lblAlgn val="ctr"/>
        <c:lblOffset val="100"/>
        <c:noMultiLvlLbl val="0"/>
      </c:catAx>
      <c:valAx>
        <c:axId val="1762353103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76235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[Xbox.xlsx]Controle!Tabela dinâmica3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40404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Controle!$B$27</c:f>
              <c:strCache>
                <c:ptCount val="1"/>
                <c:pt idx="0">
                  <c:v>Soma de Faturamento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0404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Controle!$A$28:$A$33</c:f>
              <c:strCache>
                <c:ptCount val="5"/>
                <c:pt idx="0">
                  <c:v>Elena Rocha</c:v>
                </c:pt>
                <c:pt idx="1">
                  <c:v>Bruno Costa</c:v>
                </c:pt>
                <c:pt idx="2">
                  <c:v>Diego Lima</c:v>
                </c:pt>
                <c:pt idx="3">
                  <c:v>Ana Silva</c:v>
                </c:pt>
                <c:pt idx="4">
                  <c:v>Carla Souza</c:v>
                </c:pt>
              </c:strCache>
            </c:strRef>
          </c:cat>
          <c:val>
            <c:numRef>
              <c:f>Controle!$B$28:$B$33</c:f>
              <c:numCache>
                <c:formatCode>"R$"\ #,##0.00</c:formatCode>
                <c:ptCount val="5"/>
                <c:pt idx="0">
                  <c:v>175250</c:v>
                </c:pt>
                <c:pt idx="1">
                  <c:v>121350</c:v>
                </c:pt>
                <c:pt idx="2">
                  <c:v>84800</c:v>
                </c:pt>
                <c:pt idx="3">
                  <c:v>65550</c:v>
                </c:pt>
                <c:pt idx="4">
                  <c:v>62700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F-4CF8-97EB-678AD820255A}"/>
            </c:ext>
          </c:extLst>
        </c:ser>
        <c:ser>
          <c:idx val="1"/>
          <c:order val="1"/>
          <c:tx>
            <c:strRef>
              <c:f>Controle!$C$27</c:f>
              <c:strCache>
                <c:ptCount val="1"/>
                <c:pt idx="0">
                  <c:v>Soma de Faturamento2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Controle!$A$28:$A$33</c:f>
              <c:strCache>
                <c:ptCount val="5"/>
                <c:pt idx="0">
                  <c:v>Elena Rocha</c:v>
                </c:pt>
                <c:pt idx="1">
                  <c:v>Bruno Costa</c:v>
                </c:pt>
                <c:pt idx="2">
                  <c:v>Diego Lima</c:v>
                </c:pt>
                <c:pt idx="3">
                  <c:v>Ana Silva</c:v>
                </c:pt>
                <c:pt idx="4">
                  <c:v>Carla Souza</c:v>
                </c:pt>
              </c:strCache>
            </c:strRef>
          </c:cat>
          <c:val>
            <c:numRef>
              <c:f>Controle!$C$28:$C$33</c:f>
              <c:numCache>
                <c:formatCode>0.00%</c:formatCode>
                <c:ptCount val="5"/>
                <c:pt idx="0">
                  <c:v>0.34386343569116062</c:v>
                </c:pt>
                <c:pt idx="1">
                  <c:v>0.23810458157559108</c:v>
                </c:pt>
                <c:pt idx="2">
                  <c:v>0.16638869812616502</c:v>
                </c:pt>
                <c:pt idx="3">
                  <c:v>0.12861767879917591</c:v>
                </c:pt>
                <c:pt idx="4">
                  <c:v>0.12302560580790739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B-4172-AAB6-3A4574D40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7939072"/>
        <c:axId val="367939552"/>
      </c:barChart>
      <c:catAx>
        <c:axId val="36793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939552"/>
        <c:crosses val="autoZero"/>
        <c:auto val="1"/>
        <c:lblAlgn val="ctr"/>
        <c:lblOffset val="100"/>
        <c:noMultiLvlLbl val="0"/>
      </c:catAx>
      <c:valAx>
        <c:axId val="367939552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36793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209550</xdr:colOff>
      <xdr:row>32</xdr:row>
      <xdr:rowOff>104775</xdr:rowOff>
    </xdr:from>
    <xdr:to>
      <xdr:col>15</xdr:col>
      <xdr:colOff>209550</xdr:colOff>
      <xdr:row>46</xdr:row>
      <xdr:rowOff>76200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2" name="Região">
              <a:extLst>
                <a:ext uri="{FF2B5EF4-FFF2-40B4-BE49-F238E27FC236}">
                  <a16:creationId xmlns:a16="http://schemas.microsoft.com/office/drawing/2014/main" id="{FAE20B07-8E47-A24F-2A75-C50554FCD7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39625" y="62007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57150</xdr:colOff>
      <xdr:row>10</xdr:row>
      <xdr:rowOff>57150</xdr:rowOff>
    </xdr:from>
    <xdr:to>
      <xdr:col>14</xdr:col>
      <xdr:colOff>57150</xdr:colOff>
      <xdr:row>16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ia">
              <a:extLst>
                <a:ext uri="{FF2B5EF4-FFF2-40B4-BE49-F238E27FC236}">
                  <a16:creationId xmlns:a16="http://schemas.microsoft.com/office/drawing/2014/main" id="{E6246053-2BFA-30B1-603B-80C3DC2A9B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24825" y="2295525"/>
              <a:ext cx="1828800" cy="1457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161925</xdr:colOff>
      <xdr:row>20</xdr:row>
      <xdr:rowOff>47625</xdr:rowOff>
    </xdr:from>
    <xdr:to>
      <xdr:col>10</xdr:col>
      <xdr:colOff>161925</xdr:colOff>
      <xdr:row>32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Vendedor">
              <a:extLst>
                <a:ext uri="{FF2B5EF4-FFF2-40B4-BE49-F238E27FC236}">
                  <a16:creationId xmlns:a16="http://schemas.microsoft.com/office/drawing/2014/main" id="{BF804F5F-603E-A100-3F45-8538BBB9A0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91200" y="46672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590550</xdr:colOff>
      <xdr:row>19</xdr:row>
      <xdr:rowOff>95250</xdr:rowOff>
    </xdr:from>
    <xdr:to>
      <xdr:col>18</xdr:col>
      <xdr:colOff>285750</xdr:colOff>
      <xdr:row>32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841B30A-6EB8-09E3-799B-71193005D537}"/>
            </a:ext>
            <a:ext uri="{147F2762-F138-4A5C-976F-8EAC2B608ADB}">
              <a16:predDERef xmlns:a16="http://schemas.microsoft.com/office/drawing/2014/main" pred="{BF804F5F-603E-A100-3F45-8538BBB9A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392457</xdr:colOff>
      <xdr:row>0</xdr:row>
      <xdr:rowOff>28575</xdr:rowOff>
    </xdr:from>
    <xdr:to>
      <xdr:col>0</xdr:col>
      <xdr:colOff>1306857</xdr:colOff>
      <xdr:row>7</xdr:row>
      <xdr:rowOff>169718</xdr:rowOff>
    </xdr:to>
    <xdr:pic>
      <xdr:nvPicPr>
        <xdr:cNvPr id="2" name="Imagem 1" descr="Xbox Logo Design – History, Meaning and Evolution | Turbologo">
          <a:extLst>
            <a:ext uri="{FF2B5EF4-FFF2-40B4-BE49-F238E27FC236}">
              <a16:creationId xmlns:a16="http://schemas.microsoft.com/office/drawing/2014/main" id="{E3F57215-5290-4D0A-A017-9D6D058A54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0" y1="29474" x2="98636" y2="307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92457" y="28575"/>
          <a:ext cx="914400" cy="1579418"/>
        </a:xfrm>
        <a:prstGeom prst="rect">
          <a:avLst/>
        </a:prstGeom>
      </xdr:spPr>
    </xdr:pic>
    <xdr:clientData/>
  </xdr:twoCellAnchor>
  <xdr:twoCellAnchor>
    <xdr:from>
      <xdr:col>2</xdr:col>
      <xdr:colOff>96698</xdr:colOff>
      <xdr:row>7</xdr:row>
      <xdr:rowOff>114300</xdr:rowOff>
    </xdr:from>
    <xdr:to>
      <xdr:col>16</xdr:col>
      <xdr:colOff>345590</xdr:colOff>
      <xdr:row>21</xdr:row>
      <xdr:rowOff>39003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C4D329-C941-4C00-B9FE-92092976F170}"/>
            </a:ext>
            <a:ext uri="{147F2762-F138-4A5C-976F-8EAC2B608ADB}">
              <a16:predDERef xmlns:a16="http://schemas.microsoft.com/office/drawing/2014/main" pred="{E3F57215-5290-4D0A-A017-9D6D058A5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38100</xdr:colOff>
      <xdr:row>6</xdr:row>
      <xdr:rowOff>85725</xdr:rowOff>
    </xdr:from>
    <xdr:to>
      <xdr:col>0</xdr:col>
      <xdr:colOff>1866900</xdr:colOff>
      <xdr:row>14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tegoria 1">
              <a:extLst>
                <a:ext uri="{FF2B5EF4-FFF2-40B4-BE49-F238E27FC236}">
                  <a16:creationId xmlns:a16="http://schemas.microsoft.com/office/drawing/2014/main" id="{B8824F64-548C-4FFB-AC60-2402F33C66DD}"/>
                </a:ext>
                <a:ext uri="{147F2762-F138-4A5C-976F-8EAC2B608ADB}">
                  <a16:predDERef xmlns:a16="http://schemas.microsoft.com/office/drawing/2014/main" pred="{BDC4D329-C941-4C00-B9FE-92092976F1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86025"/>
              <a:ext cx="1828800" cy="1457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13</xdr:row>
      <xdr:rowOff>152400</xdr:rowOff>
    </xdr:from>
    <xdr:to>
      <xdr:col>0</xdr:col>
      <xdr:colOff>1828800</xdr:colOff>
      <xdr:row>22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Vendedor 1">
              <a:extLst>
                <a:ext uri="{FF2B5EF4-FFF2-40B4-BE49-F238E27FC236}">
                  <a16:creationId xmlns:a16="http://schemas.microsoft.com/office/drawing/2014/main" id="{9C9F3345-D2C6-4883-A12B-3C0F75962298}"/>
                </a:ext>
                <a:ext uri="{147F2762-F138-4A5C-976F-8EAC2B608ADB}">
                  <a16:predDERef xmlns:a16="http://schemas.microsoft.com/office/drawing/2014/main" pred="{B8824F64-548C-4FFB-AC60-2402F33C66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095750"/>
              <a:ext cx="1828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73507</xdr:colOff>
      <xdr:row>21</xdr:row>
      <xdr:rowOff>161925</xdr:rowOff>
    </xdr:from>
    <xdr:to>
      <xdr:col>16</xdr:col>
      <xdr:colOff>368782</xdr:colOff>
      <xdr:row>36</xdr:row>
      <xdr:rowOff>47625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82E1946-6A44-4F16-8E66-9537B0E8BB22}"/>
            </a:ext>
            <a:ext uri="{147F2762-F138-4A5C-976F-8EAC2B608ADB}">
              <a16:predDERef xmlns:a16="http://schemas.microsoft.com/office/drawing/2014/main" pred="{9C9F3345-D2C6-4883-A12B-3C0F75962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0.00278</cdr:x>
      <cdr:y>0.00735</cdr:y>
    </cdr:from>
    <cdr:to>
      <cdr:x>0.99939</cdr:x>
      <cdr:y>0.19111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3AC9961B-CB22-B14B-5A8C-79BD17E7523B}"/>
            </a:ext>
          </a:extLst>
        </cdr:cNvPr>
        <cdr:cNvSpPr/>
      </cdr:nvSpPr>
      <cdr:spPr>
        <a:xfrm xmlns:a="http://schemas.openxmlformats.org/drawingml/2006/main">
          <a:off x="24435" y="19050"/>
          <a:ext cx="8753475" cy="476250"/>
        </a:xfrm>
        <a:prstGeom xmlns:a="http://schemas.openxmlformats.org/drawingml/2006/main" prst="rect">
          <a:avLst/>
        </a:prstGeom>
        <a:solidFill xmlns:a="http://schemas.openxmlformats.org/drawingml/2006/main">
          <a:srgbClr val="22C55E"/>
        </a:solidFill>
        <a:ln xmlns:a="http://schemas.openxmlformats.org/drawingml/2006/main">
          <a:solidFill>
            <a:srgbClr val="22C55E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pt-BR" sz="1400" b="1" kern="1200"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400" b="1" kern="1200" baseline="0">
              <a:latin typeface="Segoe UI" panose="020B0502040204020203" pitchFamily="34" charset="0"/>
              <a:cs typeface="Segoe UI" panose="020B0502040204020203" pitchFamily="34" charset="0"/>
            </a:rPr>
            <a:t> POR CATEGORIA</a:t>
          </a:r>
          <a:endParaRPr lang="pt-BR" sz="1400" b="1" kern="1200"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0.00216</cdr:x>
      <cdr:y>0.0081</cdr:y>
    </cdr:from>
    <cdr:to>
      <cdr:x>0.99892</cdr:x>
      <cdr:y>0.17014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94FE3199-E7A7-4697-A546-F6FA100CC872}"/>
            </a:ext>
          </a:extLst>
        </cdr:cNvPr>
        <cdr:cNvSpPr/>
      </cdr:nvSpPr>
      <cdr:spPr>
        <a:xfrm xmlns:a="http://schemas.openxmlformats.org/drawingml/2006/main">
          <a:off x="19051" y="22225"/>
          <a:ext cx="8801100" cy="444500"/>
        </a:xfrm>
        <a:prstGeom xmlns:a="http://schemas.openxmlformats.org/drawingml/2006/main" prst="rect">
          <a:avLst/>
        </a:prstGeom>
        <a:solidFill xmlns:a="http://schemas.openxmlformats.org/drawingml/2006/main">
          <a:srgbClr val="22C55E"/>
        </a:solidFill>
        <a:ln xmlns:a="http://schemas.openxmlformats.org/drawingml/2006/main">
          <a:solidFill>
            <a:srgbClr val="22C55E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400" b="1">
              <a:solidFill>
                <a:schemeClr val="lt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TOTAL POR VENDEDOR</a:t>
          </a:r>
          <a:endParaRPr lang="pt-BR" sz="1400">
            <a:effectLst/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" refreshedDate="46040.594025115737" createdVersion="8" refreshedVersion="8" minRefreshableVersion="3" recordCount="150" xr:uid="{522CD584-4436-46B2-A760-AAA46DD9B8D4}">
  <cacheSource type="worksheet">
    <worksheetSource name="tbl_vendas"/>
  </cacheSource>
  <cacheFields count="11">
    <cacheField name="ID_Venda" numFmtId="0">
      <sharedItems/>
    </cacheField>
    <cacheField name="Data" numFmtId="14">
      <sharedItems containsSemiMixedTypes="0" containsNonDate="0" containsDate="1" containsString="0" minDate="2025-01-01T00:00:00" maxDate="2025-12-31T00:00:00"/>
    </cacheField>
    <cacheField name="Produto" numFmtId="0">
      <sharedItems count="8">
        <s v="Starfield"/>
        <s v="Controle Sem Fio Xbox"/>
        <s v="Xbox Series X"/>
        <s v="Halo Infinite"/>
        <s v="Forza Horizon 5"/>
        <s v="Assinatura Game Pass Ultimate (3 meses)"/>
        <s v="Headset Sem Fio Xbox"/>
        <s v="Xbox Series S"/>
      </sharedItems>
    </cacheField>
    <cacheField name="Categoria" numFmtId="0">
      <sharedItems count="4">
        <s v="Jogo"/>
        <s v="Acessório"/>
        <s v="Console"/>
        <s v="Serviço"/>
      </sharedItems>
    </cacheField>
    <cacheField name="Quantidade" numFmtId="0">
      <sharedItems containsSemiMixedTypes="0" containsString="0" containsNumber="1" containsInteger="1" minValue="1" maxValue="5"/>
    </cacheField>
    <cacheField name="Preço Unitário" numFmtId="164">
      <sharedItems containsSemiMixedTypes="0" containsString="0" containsNumber="1" containsInteger="1" minValue="150" maxValue="4500"/>
    </cacheField>
    <cacheField name="Faturamento" numFmtId="164">
      <sharedItems containsSemiMixedTypes="0" containsString="0" containsNumber="1" containsInteger="1" minValue="150" maxValue="22500"/>
    </cacheField>
    <cacheField name="Custo Total" numFmtId="164">
      <sharedItems containsSemiMixedTypes="0" containsString="0" containsNumber="1" containsInteger="1" minValue="50" maxValue="19000"/>
    </cacheField>
    <cacheField name="Lucro" numFmtId="164">
      <sharedItems containsSemiMixedTypes="0" containsString="0" containsNumber="1" containsInteger="1" minValue="100" maxValue="3500"/>
    </cacheField>
    <cacheField name="Região" numFmtId="0">
      <sharedItems/>
    </cacheField>
    <cacheField name="Vendedor" numFmtId="0">
      <sharedItems count="5">
        <s v="Elena Rocha"/>
        <s v="Ana Silva"/>
        <s v="Bruno Costa"/>
        <s v="Diego Lima"/>
        <s v="Carla Souza"/>
      </sharedItems>
    </cacheField>
  </cacheFields>
  <extLst>
    <ext xmlns:x14="http://schemas.microsoft.com/office/spreadsheetml/2009/9/main" uri="{725AE2AE-9491-48be-B2B4-4EB974FC3084}">
      <x14:pivotCacheDefinition pivotCacheId="14463815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V1058"/>
    <d v="2025-01-01T00:00:00"/>
    <x v="0"/>
    <x v="0"/>
    <n v="3"/>
    <n v="350"/>
    <n v="1050"/>
    <n v="450"/>
    <n v="600"/>
    <s v="Centro-Oeste"/>
    <x v="0"/>
  </r>
  <r>
    <s v="V1032"/>
    <d v="2025-01-08T00:00:00"/>
    <x v="1"/>
    <x v="1"/>
    <n v="3"/>
    <n v="450"/>
    <n v="1350"/>
    <n v="750"/>
    <n v="600"/>
    <s v="Centro-Oeste"/>
    <x v="1"/>
  </r>
  <r>
    <s v="V1000"/>
    <d v="2025-01-09T00:00:00"/>
    <x v="2"/>
    <x v="2"/>
    <n v="5"/>
    <n v="4500"/>
    <n v="22500"/>
    <n v="19000"/>
    <n v="3500"/>
    <s v="Sudeste"/>
    <x v="0"/>
  </r>
  <r>
    <s v="V1047"/>
    <d v="2025-01-10T00:00:00"/>
    <x v="0"/>
    <x v="0"/>
    <n v="1"/>
    <n v="350"/>
    <n v="350"/>
    <n v="150"/>
    <n v="200"/>
    <s v="Sudeste"/>
    <x v="0"/>
  </r>
  <r>
    <s v="V1111"/>
    <d v="2025-01-12T00:00:00"/>
    <x v="3"/>
    <x v="0"/>
    <n v="3"/>
    <n v="250"/>
    <n v="750"/>
    <n v="300"/>
    <n v="450"/>
    <s v="Sudeste"/>
    <x v="0"/>
  </r>
  <r>
    <s v="V1091"/>
    <d v="2025-01-14T00:00:00"/>
    <x v="4"/>
    <x v="0"/>
    <n v="1"/>
    <n v="300"/>
    <n v="300"/>
    <n v="120"/>
    <n v="180"/>
    <s v="Nordeste"/>
    <x v="1"/>
  </r>
  <r>
    <s v="V1018"/>
    <d v="2025-01-15T00:00:00"/>
    <x v="4"/>
    <x v="0"/>
    <n v="1"/>
    <n v="300"/>
    <n v="300"/>
    <n v="120"/>
    <n v="180"/>
    <s v="Norte"/>
    <x v="0"/>
  </r>
  <r>
    <s v="V1050"/>
    <d v="2025-01-18T00:00:00"/>
    <x v="1"/>
    <x v="1"/>
    <n v="5"/>
    <n v="450"/>
    <n v="2250"/>
    <n v="1250"/>
    <n v="1000"/>
    <s v="Sudeste"/>
    <x v="1"/>
  </r>
  <r>
    <s v="V1048"/>
    <d v="2025-01-19T00:00:00"/>
    <x v="0"/>
    <x v="0"/>
    <n v="5"/>
    <n v="350"/>
    <n v="1750"/>
    <n v="750"/>
    <n v="1000"/>
    <s v="Sudeste"/>
    <x v="1"/>
  </r>
  <r>
    <s v="V1080"/>
    <d v="2025-01-20T00:00:00"/>
    <x v="5"/>
    <x v="3"/>
    <n v="3"/>
    <n v="150"/>
    <n v="450"/>
    <n v="150"/>
    <n v="300"/>
    <s v="Sudeste"/>
    <x v="2"/>
  </r>
  <r>
    <s v="V1092"/>
    <d v="2025-01-22T00:00:00"/>
    <x v="6"/>
    <x v="1"/>
    <n v="4"/>
    <n v="800"/>
    <n v="3200"/>
    <n v="2000"/>
    <n v="1200"/>
    <s v="Nordeste"/>
    <x v="3"/>
  </r>
  <r>
    <s v="V1013"/>
    <d v="2025-01-27T00:00:00"/>
    <x v="6"/>
    <x v="1"/>
    <n v="5"/>
    <n v="800"/>
    <n v="4000"/>
    <n v="2500"/>
    <n v="1500"/>
    <s v="Nordeste"/>
    <x v="3"/>
  </r>
  <r>
    <s v="V1090"/>
    <d v="2025-01-28T00:00:00"/>
    <x v="7"/>
    <x v="2"/>
    <n v="3"/>
    <n v="2500"/>
    <n v="7500"/>
    <n v="6000"/>
    <n v="1500"/>
    <s v="Sudeste"/>
    <x v="0"/>
  </r>
  <r>
    <s v="V1024"/>
    <d v="2025-01-28T00:00:00"/>
    <x v="3"/>
    <x v="0"/>
    <n v="1"/>
    <n v="250"/>
    <n v="250"/>
    <n v="100"/>
    <n v="150"/>
    <s v="Norte"/>
    <x v="1"/>
  </r>
  <r>
    <s v="V1110"/>
    <d v="2025-01-29T00:00:00"/>
    <x v="1"/>
    <x v="1"/>
    <n v="2"/>
    <n v="450"/>
    <n v="900"/>
    <n v="500"/>
    <n v="400"/>
    <s v="Centro-Oeste"/>
    <x v="2"/>
  </r>
  <r>
    <s v="V1109"/>
    <d v="2025-01-29T00:00:00"/>
    <x v="2"/>
    <x v="2"/>
    <n v="2"/>
    <n v="4500"/>
    <n v="9000"/>
    <n v="7600"/>
    <n v="1400"/>
    <s v="Nordeste"/>
    <x v="3"/>
  </r>
  <r>
    <s v="V1037"/>
    <d v="2025-01-31T00:00:00"/>
    <x v="5"/>
    <x v="3"/>
    <n v="5"/>
    <n v="150"/>
    <n v="750"/>
    <n v="250"/>
    <n v="500"/>
    <s v="Sul"/>
    <x v="4"/>
  </r>
  <r>
    <s v="V1124"/>
    <d v="2025-02-06T00:00:00"/>
    <x v="5"/>
    <x v="3"/>
    <n v="4"/>
    <n v="150"/>
    <n v="600"/>
    <n v="200"/>
    <n v="400"/>
    <s v="Nordeste"/>
    <x v="4"/>
  </r>
  <r>
    <s v="V1125"/>
    <d v="2025-02-09T00:00:00"/>
    <x v="5"/>
    <x v="3"/>
    <n v="5"/>
    <n v="150"/>
    <n v="750"/>
    <n v="250"/>
    <n v="500"/>
    <s v="Nordeste"/>
    <x v="0"/>
  </r>
  <r>
    <s v="V1106"/>
    <d v="2025-02-11T00:00:00"/>
    <x v="0"/>
    <x v="0"/>
    <n v="3"/>
    <n v="350"/>
    <n v="1050"/>
    <n v="450"/>
    <n v="600"/>
    <s v="Nordeste"/>
    <x v="3"/>
  </r>
  <r>
    <s v="V1036"/>
    <d v="2025-02-12T00:00:00"/>
    <x v="0"/>
    <x v="0"/>
    <n v="1"/>
    <n v="350"/>
    <n v="350"/>
    <n v="150"/>
    <n v="200"/>
    <s v="Sul"/>
    <x v="3"/>
  </r>
  <r>
    <s v="V1104"/>
    <d v="2025-02-25T00:00:00"/>
    <x v="0"/>
    <x v="0"/>
    <n v="5"/>
    <n v="350"/>
    <n v="1750"/>
    <n v="750"/>
    <n v="1000"/>
    <s v="Norte"/>
    <x v="4"/>
  </r>
  <r>
    <s v="V1103"/>
    <d v="2025-02-27T00:00:00"/>
    <x v="7"/>
    <x v="2"/>
    <n v="5"/>
    <n v="2500"/>
    <n v="12500"/>
    <n v="10000"/>
    <n v="2500"/>
    <s v="Sudeste"/>
    <x v="2"/>
  </r>
  <r>
    <s v="V1094"/>
    <d v="2025-02-28T00:00:00"/>
    <x v="3"/>
    <x v="0"/>
    <n v="2"/>
    <n v="250"/>
    <n v="500"/>
    <n v="200"/>
    <n v="300"/>
    <s v="Sul"/>
    <x v="3"/>
  </r>
  <r>
    <s v="V1101"/>
    <d v="2025-03-01T00:00:00"/>
    <x v="0"/>
    <x v="0"/>
    <n v="3"/>
    <n v="350"/>
    <n v="1050"/>
    <n v="450"/>
    <n v="600"/>
    <s v="Centro-Oeste"/>
    <x v="2"/>
  </r>
  <r>
    <s v="V1040"/>
    <d v="2025-03-02T00:00:00"/>
    <x v="3"/>
    <x v="0"/>
    <n v="3"/>
    <n v="250"/>
    <n v="750"/>
    <n v="300"/>
    <n v="450"/>
    <s v="Sudeste"/>
    <x v="2"/>
  </r>
  <r>
    <s v="V1072"/>
    <d v="2025-03-08T00:00:00"/>
    <x v="4"/>
    <x v="0"/>
    <n v="2"/>
    <n v="300"/>
    <n v="600"/>
    <n v="240"/>
    <n v="360"/>
    <s v="Nordeste"/>
    <x v="0"/>
  </r>
  <r>
    <s v="V1043"/>
    <d v="2025-03-13T00:00:00"/>
    <x v="6"/>
    <x v="1"/>
    <n v="2"/>
    <n v="800"/>
    <n v="1600"/>
    <n v="1000"/>
    <n v="600"/>
    <s v="Sudeste"/>
    <x v="4"/>
  </r>
  <r>
    <s v="V1078"/>
    <d v="2025-03-15T00:00:00"/>
    <x v="5"/>
    <x v="3"/>
    <n v="2"/>
    <n v="150"/>
    <n v="300"/>
    <n v="100"/>
    <n v="200"/>
    <s v="Centro-Oeste"/>
    <x v="3"/>
  </r>
  <r>
    <s v="V1059"/>
    <d v="2025-03-15T00:00:00"/>
    <x v="2"/>
    <x v="2"/>
    <n v="1"/>
    <n v="4500"/>
    <n v="4500"/>
    <n v="3800"/>
    <n v="700"/>
    <s v="Nordeste"/>
    <x v="0"/>
  </r>
  <r>
    <s v="V1098"/>
    <d v="2025-03-15T00:00:00"/>
    <x v="4"/>
    <x v="0"/>
    <n v="4"/>
    <n v="300"/>
    <n v="1200"/>
    <n v="480"/>
    <n v="720"/>
    <s v="Sul"/>
    <x v="0"/>
  </r>
  <r>
    <s v="V1056"/>
    <d v="2025-03-19T00:00:00"/>
    <x v="0"/>
    <x v="0"/>
    <n v="5"/>
    <n v="350"/>
    <n v="1750"/>
    <n v="750"/>
    <n v="1000"/>
    <s v="Centro-Oeste"/>
    <x v="0"/>
  </r>
  <r>
    <s v="V1062"/>
    <d v="2025-03-22T00:00:00"/>
    <x v="5"/>
    <x v="3"/>
    <n v="2"/>
    <n v="150"/>
    <n v="300"/>
    <n v="100"/>
    <n v="200"/>
    <s v="Centro-Oeste"/>
    <x v="1"/>
  </r>
  <r>
    <s v="V1004"/>
    <d v="2025-03-23T00:00:00"/>
    <x v="5"/>
    <x v="3"/>
    <n v="2"/>
    <n v="150"/>
    <n v="300"/>
    <n v="100"/>
    <n v="200"/>
    <s v="Norte"/>
    <x v="3"/>
  </r>
  <r>
    <s v="V1082"/>
    <d v="2025-03-25T00:00:00"/>
    <x v="3"/>
    <x v="0"/>
    <n v="4"/>
    <n v="250"/>
    <n v="1000"/>
    <n v="400"/>
    <n v="600"/>
    <s v="Nordeste"/>
    <x v="2"/>
  </r>
  <r>
    <s v="V1121"/>
    <d v="2025-03-31T00:00:00"/>
    <x v="2"/>
    <x v="2"/>
    <n v="1"/>
    <n v="4500"/>
    <n v="4500"/>
    <n v="3800"/>
    <n v="700"/>
    <s v="Nordeste"/>
    <x v="0"/>
  </r>
  <r>
    <s v="V1102"/>
    <d v="2025-04-02T00:00:00"/>
    <x v="1"/>
    <x v="1"/>
    <n v="5"/>
    <n v="450"/>
    <n v="2250"/>
    <n v="1250"/>
    <n v="1000"/>
    <s v="Sul"/>
    <x v="2"/>
  </r>
  <r>
    <s v="V1063"/>
    <d v="2025-04-04T00:00:00"/>
    <x v="3"/>
    <x v="0"/>
    <n v="5"/>
    <n v="250"/>
    <n v="1250"/>
    <n v="500"/>
    <n v="750"/>
    <s v="Norte"/>
    <x v="3"/>
  </r>
  <r>
    <s v="V1007"/>
    <d v="2025-04-04T00:00:00"/>
    <x v="2"/>
    <x v="2"/>
    <n v="2"/>
    <n v="4500"/>
    <n v="9000"/>
    <n v="7600"/>
    <n v="1400"/>
    <s v="Centro-Oeste"/>
    <x v="3"/>
  </r>
  <r>
    <s v="V1027"/>
    <d v="2025-04-06T00:00:00"/>
    <x v="0"/>
    <x v="0"/>
    <n v="1"/>
    <n v="350"/>
    <n v="350"/>
    <n v="150"/>
    <n v="200"/>
    <s v="Sudeste"/>
    <x v="1"/>
  </r>
  <r>
    <s v="V1097"/>
    <d v="2025-04-08T00:00:00"/>
    <x v="4"/>
    <x v="0"/>
    <n v="2"/>
    <n v="300"/>
    <n v="600"/>
    <n v="240"/>
    <n v="360"/>
    <s v="Sul"/>
    <x v="4"/>
  </r>
  <r>
    <s v="V1002"/>
    <d v="2025-04-10T00:00:00"/>
    <x v="0"/>
    <x v="0"/>
    <n v="5"/>
    <n v="350"/>
    <n v="1750"/>
    <n v="750"/>
    <n v="1000"/>
    <s v="Sudeste"/>
    <x v="1"/>
  </r>
  <r>
    <s v="V1143"/>
    <d v="2025-04-10T00:00:00"/>
    <x v="5"/>
    <x v="3"/>
    <n v="5"/>
    <n v="150"/>
    <n v="750"/>
    <n v="250"/>
    <n v="500"/>
    <s v="Sudeste"/>
    <x v="3"/>
  </r>
  <r>
    <s v="V1087"/>
    <d v="2025-04-11T00:00:00"/>
    <x v="5"/>
    <x v="3"/>
    <n v="1"/>
    <n v="150"/>
    <n v="150"/>
    <n v="50"/>
    <n v="100"/>
    <s v="Sul"/>
    <x v="4"/>
  </r>
  <r>
    <s v="V1074"/>
    <d v="2025-04-19T00:00:00"/>
    <x v="0"/>
    <x v="0"/>
    <n v="4"/>
    <n v="350"/>
    <n v="1400"/>
    <n v="600"/>
    <n v="800"/>
    <s v="Centro-Oeste"/>
    <x v="0"/>
  </r>
  <r>
    <s v="V1130"/>
    <d v="2025-04-21T00:00:00"/>
    <x v="2"/>
    <x v="2"/>
    <n v="4"/>
    <n v="4500"/>
    <n v="18000"/>
    <n v="15200"/>
    <n v="2800"/>
    <s v="Nordeste"/>
    <x v="3"/>
  </r>
  <r>
    <s v="V1023"/>
    <d v="2025-04-24T00:00:00"/>
    <x v="3"/>
    <x v="0"/>
    <n v="3"/>
    <n v="250"/>
    <n v="750"/>
    <n v="300"/>
    <n v="450"/>
    <s v="Sul"/>
    <x v="0"/>
  </r>
  <r>
    <s v="V1011"/>
    <d v="2025-04-29T00:00:00"/>
    <x v="4"/>
    <x v="0"/>
    <n v="2"/>
    <n v="300"/>
    <n v="600"/>
    <n v="240"/>
    <n v="360"/>
    <s v="Norte"/>
    <x v="0"/>
  </r>
  <r>
    <s v="V1017"/>
    <d v="2025-04-30T00:00:00"/>
    <x v="3"/>
    <x v="0"/>
    <n v="3"/>
    <n v="250"/>
    <n v="750"/>
    <n v="300"/>
    <n v="450"/>
    <s v="Sul"/>
    <x v="2"/>
  </r>
  <r>
    <s v="V1148"/>
    <d v="2025-04-30T00:00:00"/>
    <x v="2"/>
    <x v="2"/>
    <n v="5"/>
    <n v="4500"/>
    <n v="22500"/>
    <n v="19000"/>
    <n v="3500"/>
    <s v="Sul"/>
    <x v="1"/>
  </r>
  <r>
    <s v="V1021"/>
    <d v="2025-05-02T00:00:00"/>
    <x v="5"/>
    <x v="3"/>
    <n v="5"/>
    <n v="150"/>
    <n v="750"/>
    <n v="250"/>
    <n v="500"/>
    <s v="Centro-Oeste"/>
    <x v="3"/>
  </r>
  <r>
    <s v="V1127"/>
    <d v="2025-05-11T00:00:00"/>
    <x v="3"/>
    <x v="0"/>
    <n v="1"/>
    <n v="250"/>
    <n v="250"/>
    <n v="100"/>
    <n v="150"/>
    <s v="Sudeste"/>
    <x v="3"/>
  </r>
  <r>
    <s v="V1084"/>
    <d v="2025-05-13T00:00:00"/>
    <x v="4"/>
    <x v="0"/>
    <n v="2"/>
    <n v="300"/>
    <n v="600"/>
    <n v="240"/>
    <n v="360"/>
    <s v="Norte"/>
    <x v="4"/>
  </r>
  <r>
    <s v="V1107"/>
    <d v="2025-05-13T00:00:00"/>
    <x v="0"/>
    <x v="0"/>
    <n v="3"/>
    <n v="350"/>
    <n v="1050"/>
    <n v="450"/>
    <n v="600"/>
    <s v="Nordeste"/>
    <x v="0"/>
  </r>
  <r>
    <s v="V1012"/>
    <d v="2025-05-23T00:00:00"/>
    <x v="1"/>
    <x v="1"/>
    <n v="5"/>
    <n v="450"/>
    <n v="2250"/>
    <n v="1250"/>
    <n v="1000"/>
    <s v="Sul"/>
    <x v="1"/>
  </r>
  <r>
    <s v="V1132"/>
    <d v="2025-05-24T00:00:00"/>
    <x v="4"/>
    <x v="0"/>
    <n v="5"/>
    <n v="300"/>
    <n v="1500"/>
    <n v="600"/>
    <n v="900"/>
    <s v="Sul"/>
    <x v="2"/>
  </r>
  <r>
    <s v="V1095"/>
    <d v="2025-06-01T00:00:00"/>
    <x v="1"/>
    <x v="1"/>
    <n v="1"/>
    <n v="450"/>
    <n v="450"/>
    <n v="250"/>
    <n v="200"/>
    <s v="Nordeste"/>
    <x v="3"/>
  </r>
  <r>
    <s v="V1085"/>
    <d v="2025-06-05T00:00:00"/>
    <x v="6"/>
    <x v="1"/>
    <n v="2"/>
    <n v="800"/>
    <n v="1600"/>
    <n v="1000"/>
    <n v="600"/>
    <s v="Centro-Oeste"/>
    <x v="4"/>
  </r>
  <r>
    <s v="V1069"/>
    <d v="2025-06-06T00:00:00"/>
    <x v="0"/>
    <x v="0"/>
    <n v="1"/>
    <n v="350"/>
    <n v="350"/>
    <n v="150"/>
    <n v="200"/>
    <s v="Norte"/>
    <x v="3"/>
  </r>
  <r>
    <s v="V1008"/>
    <d v="2025-06-08T00:00:00"/>
    <x v="7"/>
    <x v="2"/>
    <n v="5"/>
    <n v="2500"/>
    <n v="12500"/>
    <n v="10000"/>
    <n v="2500"/>
    <s v="Norte"/>
    <x v="2"/>
  </r>
  <r>
    <s v="V1049"/>
    <d v="2025-06-12T00:00:00"/>
    <x v="6"/>
    <x v="1"/>
    <n v="1"/>
    <n v="800"/>
    <n v="800"/>
    <n v="500"/>
    <n v="300"/>
    <s v="Centro-Oeste"/>
    <x v="3"/>
  </r>
  <r>
    <s v="V1105"/>
    <d v="2025-06-16T00:00:00"/>
    <x v="2"/>
    <x v="2"/>
    <n v="1"/>
    <n v="4500"/>
    <n v="4500"/>
    <n v="3800"/>
    <n v="700"/>
    <s v="Nordeste"/>
    <x v="2"/>
  </r>
  <r>
    <s v="V1061"/>
    <d v="2025-06-16T00:00:00"/>
    <x v="7"/>
    <x v="2"/>
    <n v="1"/>
    <n v="2500"/>
    <n v="2500"/>
    <n v="2000"/>
    <n v="500"/>
    <s v="Nordeste"/>
    <x v="4"/>
  </r>
  <r>
    <s v="V1001"/>
    <d v="2025-06-17T00:00:00"/>
    <x v="3"/>
    <x v="0"/>
    <n v="3"/>
    <n v="250"/>
    <n v="750"/>
    <n v="300"/>
    <n v="450"/>
    <s v="Norte"/>
    <x v="4"/>
  </r>
  <r>
    <s v="V1146"/>
    <d v="2025-06-18T00:00:00"/>
    <x v="3"/>
    <x v="0"/>
    <n v="4"/>
    <n v="250"/>
    <n v="1000"/>
    <n v="400"/>
    <n v="600"/>
    <s v="Centro-Oeste"/>
    <x v="3"/>
  </r>
  <r>
    <s v="V1077"/>
    <d v="2025-06-20T00:00:00"/>
    <x v="3"/>
    <x v="0"/>
    <n v="2"/>
    <n v="250"/>
    <n v="500"/>
    <n v="200"/>
    <n v="300"/>
    <s v="Sul"/>
    <x v="4"/>
  </r>
  <r>
    <s v="V1129"/>
    <d v="2025-06-21T00:00:00"/>
    <x v="5"/>
    <x v="3"/>
    <n v="3"/>
    <n v="150"/>
    <n v="450"/>
    <n v="150"/>
    <n v="300"/>
    <s v="Centro-Oeste"/>
    <x v="2"/>
  </r>
  <r>
    <s v="V1112"/>
    <d v="2025-06-24T00:00:00"/>
    <x v="4"/>
    <x v="0"/>
    <n v="4"/>
    <n v="300"/>
    <n v="1200"/>
    <n v="480"/>
    <n v="720"/>
    <s v="Norte"/>
    <x v="1"/>
  </r>
  <r>
    <s v="V1038"/>
    <d v="2025-06-28T00:00:00"/>
    <x v="4"/>
    <x v="0"/>
    <n v="4"/>
    <n v="300"/>
    <n v="1200"/>
    <n v="480"/>
    <n v="720"/>
    <s v="Norte"/>
    <x v="3"/>
  </r>
  <r>
    <s v="V1052"/>
    <d v="2025-07-03T00:00:00"/>
    <x v="1"/>
    <x v="1"/>
    <n v="5"/>
    <n v="450"/>
    <n v="2250"/>
    <n v="1250"/>
    <n v="1000"/>
    <s v="Norte"/>
    <x v="4"/>
  </r>
  <r>
    <s v="V1028"/>
    <d v="2025-07-08T00:00:00"/>
    <x v="0"/>
    <x v="0"/>
    <n v="4"/>
    <n v="350"/>
    <n v="1400"/>
    <n v="600"/>
    <n v="800"/>
    <s v="Nordeste"/>
    <x v="4"/>
  </r>
  <r>
    <s v="V1071"/>
    <d v="2025-07-14T00:00:00"/>
    <x v="2"/>
    <x v="2"/>
    <n v="3"/>
    <n v="4500"/>
    <n v="13500"/>
    <n v="11400"/>
    <n v="2100"/>
    <s v="Nordeste"/>
    <x v="1"/>
  </r>
  <r>
    <s v="V1139"/>
    <d v="2025-07-17T00:00:00"/>
    <x v="7"/>
    <x v="2"/>
    <n v="5"/>
    <n v="2500"/>
    <n v="12500"/>
    <n v="10000"/>
    <n v="2500"/>
    <s v="Sudeste"/>
    <x v="2"/>
  </r>
  <r>
    <s v="V1135"/>
    <d v="2025-07-17T00:00:00"/>
    <x v="2"/>
    <x v="2"/>
    <n v="4"/>
    <n v="4500"/>
    <n v="18000"/>
    <n v="15200"/>
    <n v="2800"/>
    <s v="Sudeste"/>
    <x v="3"/>
  </r>
  <r>
    <s v="V1093"/>
    <d v="2025-07-20T00:00:00"/>
    <x v="6"/>
    <x v="1"/>
    <n v="4"/>
    <n v="800"/>
    <n v="3200"/>
    <n v="2000"/>
    <n v="1200"/>
    <s v="Centro-Oeste"/>
    <x v="4"/>
  </r>
  <r>
    <s v="V1136"/>
    <d v="2025-07-22T00:00:00"/>
    <x v="6"/>
    <x v="1"/>
    <n v="4"/>
    <n v="800"/>
    <n v="3200"/>
    <n v="2000"/>
    <n v="1200"/>
    <s v="Nordeste"/>
    <x v="4"/>
  </r>
  <r>
    <s v="V1067"/>
    <d v="2025-07-24T00:00:00"/>
    <x v="3"/>
    <x v="0"/>
    <n v="4"/>
    <n v="250"/>
    <n v="1000"/>
    <n v="400"/>
    <n v="600"/>
    <s v="Norte"/>
    <x v="2"/>
  </r>
  <r>
    <s v="V1053"/>
    <d v="2025-07-26T00:00:00"/>
    <x v="4"/>
    <x v="0"/>
    <n v="5"/>
    <n v="300"/>
    <n v="1500"/>
    <n v="600"/>
    <n v="900"/>
    <s v="Centro-Oeste"/>
    <x v="3"/>
  </r>
  <r>
    <s v="V1015"/>
    <d v="2025-07-27T00:00:00"/>
    <x v="0"/>
    <x v="0"/>
    <n v="3"/>
    <n v="350"/>
    <n v="1050"/>
    <n v="450"/>
    <n v="600"/>
    <s v="Sul"/>
    <x v="3"/>
  </r>
  <r>
    <s v="V1019"/>
    <d v="2025-07-27T00:00:00"/>
    <x v="5"/>
    <x v="3"/>
    <n v="4"/>
    <n v="150"/>
    <n v="600"/>
    <n v="200"/>
    <n v="400"/>
    <s v="Sul"/>
    <x v="3"/>
  </r>
  <r>
    <s v="V1014"/>
    <d v="2025-07-29T00:00:00"/>
    <x v="1"/>
    <x v="1"/>
    <n v="2"/>
    <n v="450"/>
    <n v="900"/>
    <n v="500"/>
    <n v="400"/>
    <s v="Sul"/>
    <x v="0"/>
  </r>
  <r>
    <s v="V1099"/>
    <d v="2025-08-02T00:00:00"/>
    <x v="4"/>
    <x v="0"/>
    <n v="4"/>
    <n v="300"/>
    <n v="1200"/>
    <n v="480"/>
    <n v="720"/>
    <s v="Sul"/>
    <x v="2"/>
  </r>
  <r>
    <s v="V1003"/>
    <d v="2025-08-03T00:00:00"/>
    <x v="3"/>
    <x v="0"/>
    <n v="4"/>
    <n v="250"/>
    <n v="1000"/>
    <n v="400"/>
    <n v="600"/>
    <s v="Sul"/>
    <x v="0"/>
  </r>
  <r>
    <s v="V1057"/>
    <d v="2025-08-05T00:00:00"/>
    <x v="2"/>
    <x v="2"/>
    <n v="5"/>
    <n v="4500"/>
    <n v="22500"/>
    <n v="19000"/>
    <n v="3500"/>
    <s v="Sudeste"/>
    <x v="0"/>
  </r>
  <r>
    <s v="V1133"/>
    <d v="2025-08-05T00:00:00"/>
    <x v="4"/>
    <x v="0"/>
    <n v="4"/>
    <n v="300"/>
    <n v="1200"/>
    <n v="480"/>
    <n v="720"/>
    <s v="Sul"/>
    <x v="4"/>
  </r>
  <r>
    <s v="V1070"/>
    <d v="2025-08-06T00:00:00"/>
    <x v="0"/>
    <x v="0"/>
    <n v="5"/>
    <n v="350"/>
    <n v="1750"/>
    <n v="750"/>
    <n v="1000"/>
    <s v="Centro-Oeste"/>
    <x v="3"/>
  </r>
  <r>
    <s v="V1029"/>
    <d v="2025-08-06T00:00:00"/>
    <x v="7"/>
    <x v="2"/>
    <n v="4"/>
    <n v="2500"/>
    <n v="10000"/>
    <n v="8000"/>
    <n v="2000"/>
    <s v="Centro-Oeste"/>
    <x v="2"/>
  </r>
  <r>
    <s v="V1022"/>
    <d v="2025-08-08T00:00:00"/>
    <x v="5"/>
    <x v="3"/>
    <n v="2"/>
    <n v="150"/>
    <n v="300"/>
    <n v="100"/>
    <n v="200"/>
    <s v="Norte"/>
    <x v="2"/>
  </r>
  <r>
    <s v="V1122"/>
    <d v="2025-08-12T00:00:00"/>
    <x v="7"/>
    <x v="2"/>
    <n v="3"/>
    <n v="2500"/>
    <n v="7500"/>
    <n v="6000"/>
    <n v="1500"/>
    <s v="Sudeste"/>
    <x v="1"/>
  </r>
  <r>
    <s v="V1081"/>
    <d v="2025-08-13T00:00:00"/>
    <x v="2"/>
    <x v="2"/>
    <n v="4"/>
    <n v="4500"/>
    <n v="18000"/>
    <n v="15200"/>
    <n v="2800"/>
    <s v="Sul"/>
    <x v="2"/>
  </r>
  <r>
    <s v="V1083"/>
    <d v="2025-08-15T00:00:00"/>
    <x v="7"/>
    <x v="2"/>
    <n v="4"/>
    <n v="2500"/>
    <n v="10000"/>
    <n v="8000"/>
    <n v="2000"/>
    <s v="Centro-Oeste"/>
    <x v="2"/>
  </r>
  <r>
    <s v="V1120"/>
    <d v="2025-08-16T00:00:00"/>
    <x v="0"/>
    <x v="0"/>
    <n v="1"/>
    <n v="350"/>
    <n v="350"/>
    <n v="150"/>
    <n v="200"/>
    <s v="Centro-Oeste"/>
    <x v="4"/>
  </r>
  <r>
    <s v="V1118"/>
    <d v="2025-08-19T00:00:00"/>
    <x v="4"/>
    <x v="0"/>
    <n v="1"/>
    <n v="300"/>
    <n v="300"/>
    <n v="120"/>
    <n v="180"/>
    <s v="Centro-Oeste"/>
    <x v="3"/>
  </r>
  <r>
    <s v="V1016"/>
    <d v="2025-08-19T00:00:00"/>
    <x v="0"/>
    <x v="0"/>
    <n v="2"/>
    <n v="350"/>
    <n v="700"/>
    <n v="300"/>
    <n v="400"/>
    <s v="Sul"/>
    <x v="4"/>
  </r>
  <r>
    <s v="V1144"/>
    <d v="2025-08-22T00:00:00"/>
    <x v="5"/>
    <x v="3"/>
    <n v="3"/>
    <n v="150"/>
    <n v="450"/>
    <n v="150"/>
    <n v="300"/>
    <s v="Norte"/>
    <x v="0"/>
  </r>
  <r>
    <s v="V1149"/>
    <d v="2025-08-24T00:00:00"/>
    <x v="1"/>
    <x v="1"/>
    <n v="4"/>
    <n v="450"/>
    <n v="1800"/>
    <n v="1000"/>
    <n v="800"/>
    <s v="Sul"/>
    <x v="3"/>
  </r>
  <r>
    <s v="V1137"/>
    <d v="2025-08-27T00:00:00"/>
    <x v="0"/>
    <x v="0"/>
    <n v="5"/>
    <n v="350"/>
    <n v="1750"/>
    <n v="750"/>
    <n v="1000"/>
    <s v="Nordeste"/>
    <x v="2"/>
  </r>
  <r>
    <s v="V1039"/>
    <d v="2025-08-27T00:00:00"/>
    <x v="1"/>
    <x v="1"/>
    <n v="5"/>
    <n v="450"/>
    <n v="2250"/>
    <n v="1250"/>
    <n v="1000"/>
    <s v="Centro-Oeste"/>
    <x v="1"/>
  </r>
  <r>
    <s v="V1045"/>
    <d v="2025-08-28T00:00:00"/>
    <x v="4"/>
    <x v="0"/>
    <n v="2"/>
    <n v="300"/>
    <n v="600"/>
    <n v="240"/>
    <n v="360"/>
    <s v="Nordeste"/>
    <x v="1"/>
  </r>
  <r>
    <s v="V1051"/>
    <d v="2025-08-29T00:00:00"/>
    <x v="4"/>
    <x v="0"/>
    <n v="1"/>
    <n v="300"/>
    <n v="300"/>
    <n v="120"/>
    <n v="180"/>
    <s v="Nordeste"/>
    <x v="0"/>
  </r>
  <r>
    <s v="V1073"/>
    <d v="2025-09-01T00:00:00"/>
    <x v="3"/>
    <x v="0"/>
    <n v="2"/>
    <n v="250"/>
    <n v="500"/>
    <n v="200"/>
    <n v="300"/>
    <s v="Centro-Oeste"/>
    <x v="4"/>
  </r>
  <r>
    <s v="V1054"/>
    <d v="2025-09-07T00:00:00"/>
    <x v="4"/>
    <x v="0"/>
    <n v="4"/>
    <n v="300"/>
    <n v="1200"/>
    <n v="480"/>
    <n v="720"/>
    <s v="Centro-Oeste"/>
    <x v="4"/>
  </r>
  <r>
    <s v="V1142"/>
    <d v="2025-09-11T00:00:00"/>
    <x v="5"/>
    <x v="3"/>
    <n v="1"/>
    <n v="150"/>
    <n v="150"/>
    <n v="50"/>
    <n v="100"/>
    <s v="Norte"/>
    <x v="4"/>
  </r>
  <r>
    <s v="V1066"/>
    <d v="2025-09-17T00:00:00"/>
    <x v="6"/>
    <x v="1"/>
    <n v="1"/>
    <n v="800"/>
    <n v="800"/>
    <n v="500"/>
    <n v="300"/>
    <s v="Centro-Oeste"/>
    <x v="0"/>
  </r>
  <r>
    <s v="V1086"/>
    <d v="2025-09-17T00:00:00"/>
    <x v="7"/>
    <x v="2"/>
    <n v="5"/>
    <n v="2500"/>
    <n v="12500"/>
    <n v="10000"/>
    <n v="2500"/>
    <s v="Centro-Oeste"/>
    <x v="2"/>
  </r>
  <r>
    <s v="V1079"/>
    <d v="2025-09-17T00:00:00"/>
    <x v="7"/>
    <x v="2"/>
    <n v="2"/>
    <n v="2500"/>
    <n v="5000"/>
    <n v="4000"/>
    <n v="1000"/>
    <s v="Nordeste"/>
    <x v="0"/>
  </r>
  <r>
    <s v="V1141"/>
    <d v="2025-09-20T00:00:00"/>
    <x v="6"/>
    <x v="1"/>
    <n v="3"/>
    <n v="800"/>
    <n v="2400"/>
    <n v="1500"/>
    <n v="900"/>
    <s v="Centro-Oeste"/>
    <x v="0"/>
  </r>
  <r>
    <s v="V1131"/>
    <d v="2025-09-27T00:00:00"/>
    <x v="7"/>
    <x v="2"/>
    <n v="3"/>
    <n v="2500"/>
    <n v="7500"/>
    <n v="6000"/>
    <n v="1500"/>
    <s v="Nordeste"/>
    <x v="0"/>
  </r>
  <r>
    <s v="V1060"/>
    <d v="2025-09-30T00:00:00"/>
    <x v="1"/>
    <x v="1"/>
    <n v="2"/>
    <n v="450"/>
    <n v="900"/>
    <n v="500"/>
    <n v="400"/>
    <s v="Sudeste"/>
    <x v="4"/>
  </r>
  <r>
    <s v="V1020"/>
    <d v="2025-10-03T00:00:00"/>
    <x v="5"/>
    <x v="3"/>
    <n v="1"/>
    <n v="150"/>
    <n v="150"/>
    <n v="50"/>
    <n v="100"/>
    <s v="Nordeste"/>
    <x v="3"/>
  </r>
  <r>
    <s v="V1042"/>
    <d v="2025-10-03T00:00:00"/>
    <x v="3"/>
    <x v="0"/>
    <n v="4"/>
    <n v="250"/>
    <n v="1000"/>
    <n v="400"/>
    <n v="600"/>
    <s v="Centro-Oeste"/>
    <x v="3"/>
  </r>
  <r>
    <s v="V1006"/>
    <d v="2025-10-09T00:00:00"/>
    <x v="2"/>
    <x v="2"/>
    <n v="3"/>
    <n v="4500"/>
    <n v="13500"/>
    <n v="11400"/>
    <n v="2100"/>
    <s v="Norte"/>
    <x v="0"/>
  </r>
  <r>
    <s v="V1046"/>
    <d v="2025-10-11T00:00:00"/>
    <x v="1"/>
    <x v="1"/>
    <n v="2"/>
    <n v="450"/>
    <n v="900"/>
    <n v="500"/>
    <n v="400"/>
    <s v="Sudeste"/>
    <x v="1"/>
  </r>
  <r>
    <s v="V1031"/>
    <d v="2025-10-11T00:00:00"/>
    <x v="1"/>
    <x v="1"/>
    <n v="3"/>
    <n v="450"/>
    <n v="1350"/>
    <n v="750"/>
    <n v="600"/>
    <s v="Centro-Oeste"/>
    <x v="1"/>
  </r>
  <r>
    <s v="V1134"/>
    <d v="2025-10-12T00:00:00"/>
    <x v="5"/>
    <x v="3"/>
    <n v="5"/>
    <n v="150"/>
    <n v="750"/>
    <n v="250"/>
    <n v="500"/>
    <s v="Norte"/>
    <x v="3"/>
  </r>
  <r>
    <s v="V1128"/>
    <d v="2025-10-12T00:00:00"/>
    <x v="4"/>
    <x v="0"/>
    <n v="4"/>
    <n v="300"/>
    <n v="1200"/>
    <n v="480"/>
    <n v="720"/>
    <s v="Centro-Oeste"/>
    <x v="4"/>
  </r>
  <r>
    <s v="V1113"/>
    <d v="2025-10-14T00:00:00"/>
    <x v="6"/>
    <x v="1"/>
    <n v="1"/>
    <n v="800"/>
    <n v="800"/>
    <n v="500"/>
    <n v="300"/>
    <s v="Centro-Oeste"/>
    <x v="0"/>
  </r>
  <r>
    <s v="V1114"/>
    <d v="2025-10-16T00:00:00"/>
    <x v="5"/>
    <x v="3"/>
    <n v="5"/>
    <n v="150"/>
    <n v="750"/>
    <n v="250"/>
    <n v="500"/>
    <s v="Centro-Oeste"/>
    <x v="1"/>
  </r>
  <r>
    <s v="V1147"/>
    <d v="2025-10-17T00:00:00"/>
    <x v="1"/>
    <x v="1"/>
    <n v="2"/>
    <n v="450"/>
    <n v="900"/>
    <n v="500"/>
    <n v="400"/>
    <s v="Sul"/>
    <x v="1"/>
  </r>
  <r>
    <s v="V1055"/>
    <d v="2025-11-02T00:00:00"/>
    <x v="6"/>
    <x v="1"/>
    <n v="5"/>
    <n v="800"/>
    <n v="4000"/>
    <n v="2500"/>
    <n v="1500"/>
    <s v="Norte"/>
    <x v="0"/>
  </r>
  <r>
    <s v="V1034"/>
    <d v="2025-11-02T00:00:00"/>
    <x v="6"/>
    <x v="1"/>
    <n v="3"/>
    <n v="800"/>
    <n v="2400"/>
    <n v="1500"/>
    <n v="900"/>
    <s v="Centro-Oeste"/>
    <x v="2"/>
  </r>
  <r>
    <s v="V1126"/>
    <d v="2025-11-05T00:00:00"/>
    <x v="6"/>
    <x v="1"/>
    <n v="2"/>
    <n v="800"/>
    <n v="1600"/>
    <n v="1000"/>
    <n v="600"/>
    <s v="Sudeste"/>
    <x v="2"/>
  </r>
  <r>
    <s v="V1117"/>
    <d v="2025-11-06T00:00:00"/>
    <x v="1"/>
    <x v="1"/>
    <n v="1"/>
    <n v="450"/>
    <n v="450"/>
    <n v="250"/>
    <n v="200"/>
    <s v="Sudeste"/>
    <x v="4"/>
  </r>
  <r>
    <s v="V1065"/>
    <d v="2025-11-06T00:00:00"/>
    <x v="2"/>
    <x v="2"/>
    <n v="3"/>
    <n v="4500"/>
    <n v="13500"/>
    <n v="11400"/>
    <n v="2100"/>
    <s v="Nordeste"/>
    <x v="0"/>
  </r>
  <r>
    <s v="V1119"/>
    <d v="2025-11-08T00:00:00"/>
    <x v="7"/>
    <x v="2"/>
    <n v="4"/>
    <n v="2500"/>
    <n v="10000"/>
    <n v="8000"/>
    <n v="2000"/>
    <s v="Nordeste"/>
    <x v="4"/>
  </r>
  <r>
    <s v="V1041"/>
    <d v="2025-11-08T00:00:00"/>
    <x v="7"/>
    <x v="2"/>
    <n v="3"/>
    <n v="2500"/>
    <n v="7500"/>
    <n v="6000"/>
    <n v="1500"/>
    <s v="Centro-Oeste"/>
    <x v="0"/>
  </r>
  <r>
    <s v="V1145"/>
    <d v="2025-11-10T00:00:00"/>
    <x v="0"/>
    <x v="0"/>
    <n v="3"/>
    <n v="350"/>
    <n v="1050"/>
    <n v="450"/>
    <n v="600"/>
    <s v="Sul"/>
    <x v="4"/>
  </r>
  <r>
    <s v="V1075"/>
    <d v="2025-11-17T00:00:00"/>
    <x v="5"/>
    <x v="3"/>
    <n v="2"/>
    <n v="150"/>
    <n v="300"/>
    <n v="100"/>
    <n v="200"/>
    <s v="Sul"/>
    <x v="1"/>
  </r>
  <r>
    <s v="V1108"/>
    <d v="2025-11-20T00:00:00"/>
    <x v="1"/>
    <x v="1"/>
    <n v="3"/>
    <n v="450"/>
    <n v="1350"/>
    <n v="750"/>
    <n v="600"/>
    <s v="Sudeste"/>
    <x v="4"/>
  </r>
  <r>
    <s v="V1026"/>
    <d v="2025-11-21T00:00:00"/>
    <x v="2"/>
    <x v="2"/>
    <n v="5"/>
    <n v="4500"/>
    <n v="22500"/>
    <n v="19000"/>
    <n v="3500"/>
    <s v="Centro-Oeste"/>
    <x v="0"/>
  </r>
  <r>
    <s v="V1068"/>
    <d v="2025-11-21T00:00:00"/>
    <x v="4"/>
    <x v="0"/>
    <n v="1"/>
    <n v="300"/>
    <n v="300"/>
    <n v="120"/>
    <n v="180"/>
    <s v="Centro-Oeste"/>
    <x v="4"/>
  </r>
  <r>
    <s v="V1009"/>
    <d v="2025-11-22T00:00:00"/>
    <x v="6"/>
    <x v="1"/>
    <n v="5"/>
    <n v="800"/>
    <n v="4000"/>
    <n v="2500"/>
    <n v="1500"/>
    <s v="Sul"/>
    <x v="2"/>
  </r>
  <r>
    <s v="V1076"/>
    <d v="2025-11-22T00:00:00"/>
    <x v="5"/>
    <x v="3"/>
    <n v="5"/>
    <n v="150"/>
    <n v="750"/>
    <n v="250"/>
    <n v="500"/>
    <s v="Sul"/>
    <x v="1"/>
  </r>
  <r>
    <s v="V1100"/>
    <d v="2025-11-25T00:00:00"/>
    <x v="4"/>
    <x v="0"/>
    <n v="3"/>
    <n v="300"/>
    <n v="900"/>
    <n v="360"/>
    <n v="540"/>
    <s v="Sul"/>
    <x v="3"/>
  </r>
  <r>
    <s v="V1088"/>
    <d v="2025-11-29T00:00:00"/>
    <x v="3"/>
    <x v="0"/>
    <n v="5"/>
    <n v="250"/>
    <n v="1250"/>
    <n v="500"/>
    <n v="750"/>
    <s v="Centro-Oeste"/>
    <x v="2"/>
  </r>
  <r>
    <s v="V1115"/>
    <d v="2025-11-29T00:00:00"/>
    <x v="7"/>
    <x v="2"/>
    <n v="2"/>
    <n v="2500"/>
    <n v="5000"/>
    <n v="4000"/>
    <n v="1000"/>
    <s v="Nordeste"/>
    <x v="2"/>
  </r>
  <r>
    <s v="V1030"/>
    <d v="2025-12-02T00:00:00"/>
    <x v="4"/>
    <x v="0"/>
    <n v="1"/>
    <n v="300"/>
    <n v="300"/>
    <n v="120"/>
    <n v="180"/>
    <s v="Sudeste"/>
    <x v="0"/>
  </r>
  <r>
    <s v="V1089"/>
    <d v="2025-12-05T00:00:00"/>
    <x v="3"/>
    <x v="0"/>
    <n v="3"/>
    <n v="250"/>
    <n v="750"/>
    <n v="300"/>
    <n v="450"/>
    <s v="Norte"/>
    <x v="1"/>
  </r>
  <r>
    <s v="V1064"/>
    <d v="2025-12-11T00:00:00"/>
    <x v="5"/>
    <x v="3"/>
    <n v="4"/>
    <n v="150"/>
    <n v="600"/>
    <n v="200"/>
    <n v="400"/>
    <s v="Sul"/>
    <x v="0"/>
  </r>
  <r>
    <s v="V1033"/>
    <d v="2025-12-11T00:00:00"/>
    <x v="2"/>
    <x v="2"/>
    <n v="1"/>
    <n v="4500"/>
    <n v="4500"/>
    <n v="3800"/>
    <n v="700"/>
    <s v="Nordeste"/>
    <x v="3"/>
  </r>
  <r>
    <s v="V1138"/>
    <d v="2025-12-13T00:00:00"/>
    <x v="4"/>
    <x v="0"/>
    <n v="3"/>
    <n v="300"/>
    <n v="900"/>
    <n v="360"/>
    <n v="540"/>
    <s v="Sul"/>
    <x v="4"/>
  </r>
  <r>
    <s v="V1035"/>
    <d v="2025-12-16T00:00:00"/>
    <x v="5"/>
    <x v="3"/>
    <n v="1"/>
    <n v="150"/>
    <n v="150"/>
    <n v="50"/>
    <n v="100"/>
    <s v="Sudeste"/>
    <x v="1"/>
  </r>
  <r>
    <s v="V1005"/>
    <d v="2025-12-16T00:00:00"/>
    <x v="7"/>
    <x v="2"/>
    <n v="3"/>
    <n v="2500"/>
    <n v="7500"/>
    <n v="6000"/>
    <n v="1500"/>
    <s v="Nordeste"/>
    <x v="4"/>
  </r>
  <r>
    <s v="V1123"/>
    <d v="2025-12-17T00:00:00"/>
    <x v="2"/>
    <x v="2"/>
    <n v="3"/>
    <n v="4500"/>
    <n v="13500"/>
    <n v="11400"/>
    <n v="2100"/>
    <s v="Norte"/>
    <x v="4"/>
  </r>
  <r>
    <s v="V1116"/>
    <d v="2025-12-19T00:00:00"/>
    <x v="2"/>
    <x v="2"/>
    <n v="4"/>
    <n v="4500"/>
    <n v="18000"/>
    <n v="15200"/>
    <n v="2800"/>
    <s v="Centro-Oeste"/>
    <x v="0"/>
  </r>
  <r>
    <s v="V1025"/>
    <d v="2025-12-19T00:00:00"/>
    <x v="0"/>
    <x v="0"/>
    <n v="3"/>
    <n v="350"/>
    <n v="1050"/>
    <n v="450"/>
    <n v="600"/>
    <s v="Sudeste"/>
    <x v="0"/>
  </r>
  <r>
    <s v="V1096"/>
    <d v="2025-12-19T00:00:00"/>
    <x v="6"/>
    <x v="1"/>
    <n v="2"/>
    <n v="800"/>
    <n v="1600"/>
    <n v="1000"/>
    <n v="600"/>
    <s v="Sudeste"/>
    <x v="1"/>
  </r>
  <r>
    <s v="V1010"/>
    <d v="2025-12-27T00:00:00"/>
    <x v="4"/>
    <x v="0"/>
    <n v="5"/>
    <n v="300"/>
    <n v="1500"/>
    <n v="600"/>
    <n v="900"/>
    <s v="Sul"/>
    <x v="0"/>
  </r>
  <r>
    <s v="V1140"/>
    <d v="2025-12-28T00:00:00"/>
    <x v="3"/>
    <x v="0"/>
    <n v="5"/>
    <n v="250"/>
    <n v="1250"/>
    <n v="500"/>
    <n v="750"/>
    <s v="Centro-Oeste"/>
    <x v="2"/>
  </r>
  <r>
    <s v="V1044"/>
    <d v="2025-12-30T00:00:00"/>
    <x v="6"/>
    <x v="1"/>
    <n v="2"/>
    <n v="800"/>
    <n v="1600"/>
    <n v="1000"/>
    <n v="600"/>
    <s v="Sul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ABE1D-0331-49AF-BBDE-6CD3829A1157}" name="Tabela dinâmica1" cacheId="37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1">
    <pivotField showAll="0"/>
    <pivotField numFmtId="14" showAll="0"/>
    <pivotField showAll="0"/>
    <pivotField axis="axisRow" showAll="0" sortType="ascending">
      <items count="5">
        <item x="1"/>
        <item x="2"/>
        <item x="0"/>
        <item x="3"/>
        <item t="default"/>
      </items>
    </pivotField>
    <pivotField showAll="0"/>
    <pivotField numFmtId="164" showAll="0"/>
    <pivotField dataField="1" numFmtId="164" showAll="0"/>
    <pivotField numFmtId="164" showAll="0"/>
    <pivotField numFmtId="164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Faturamento" fld="6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5B5CB-5A49-490F-993E-8C7D1CD8D065}" name="Tabela dinâmica3" cacheId="37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7:C33" firstHeaderRow="0" firstDataRow="1" firstDataCol="1"/>
  <pivotFields count="11">
    <pivotField showAll="0"/>
    <pivotField numFmtId="14" showAll="0"/>
    <pivotField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showAll="0"/>
    <pivotField axis="axisRow" showAll="0" sortType="descending">
      <items count="6">
        <item x="1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6">
    <i>
      <x v="4"/>
    </i>
    <i>
      <x v="1"/>
    </i>
    <i>
      <x v="3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Faturamento" fld="6" baseField="0" baseItem="0" numFmtId="164"/>
    <dataField name="Soma de Faturamento2" fld="6" showDataAs="percentOfTota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136EB-CB65-4257-952D-2901C61F71A5}" name="Tabela dinâmica2" cacheId="37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3:B22" firstHeaderRow="1" firstDataRow="1" firstDataCol="1"/>
  <pivotFields count="11">
    <pivotField showAll="0"/>
    <pivotField numFmtId="14" showAll="0"/>
    <pivotField axis="axisRow" showAll="0" sortType="ascending">
      <items count="9">
        <item x="5"/>
        <item x="1"/>
        <item x="4"/>
        <item x="3"/>
        <item x="6"/>
        <item x="0"/>
        <item x="7"/>
        <item x="2"/>
        <item t="default"/>
      </items>
    </pivotField>
    <pivotField showAll="0"/>
    <pivotField dataField="1" showAll="0"/>
    <pivotField numFmtId="164" showAll="0"/>
    <pivotField numFmtId="164" showAll="0"/>
    <pivotField numFmtId="164" showAll="0"/>
    <pivotField numFmtId="164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Quantidad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6F662673-26A8-4847-AC1C-11C7DCF47C39}" sourceName="Categoria">
  <pivotTables>
    <pivotTable tabId="3" name="Tabela dinâmica1"/>
  </pivotTables>
  <data>
    <tabular pivotCacheId="1446381566" sortOrder="descending">
      <items count="4">
        <i x="3" s="1"/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CF90357D-7559-4AE0-BD80-01B132FDD07E}" sourceName="Vendedor">
  <pivotTables>
    <pivotTable tabId="3" name="Tabela dinâmica3"/>
  </pivotTables>
  <data>
    <tabular pivotCacheId="1446381566" sortOrder="descending">
      <items count="5">
        <i x="0" s="1"/>
        <i x="3" s="1"/>
        <i x="4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0E04C450-ED0B-48F6-8199-F75DF7971806}" sourceName="Região">
  <extLst>
    <x:ext xmlns:x15="http://schemas.microsoft.com/office/spreadsheetml/2010/11/main" uri="{2F2917AC-EB37-4324-AD4E-5DD8C200BD13}">
      <x15:tableSlicerCache tableId="1" column="10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ão" xr10:uid="{19FF1FB1-999F-4591-AF7C-EAA180BBCE88}" cache="SegmentaçãodeDados_Região" caption="Região" style="SlicerStyleLight3 2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2A371B13-BFA9-4A33-B1D6-D1B00F43EF97}" cache="SegmentaçãodeDados_Categoria" caption="Categoria" rowHeight="241300"/>
  <slicer name="Vendedor" xr10:uid="{C927BC0B-B23A-434E-8FB1-4C6A19630870}" cache="SegmentaçãodeDados_Vendedor" caption="Vendedor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1" xr10:uid="{EFEBDE89-27FC-4AD2-B250-2E09218FE4CC}" cache="SegmentaçãodeDados_Categoria" caption="Categoria" style="SlicerStyleLight3 2" rowHeight="241300"/>
  <slicer name="Vendedor 1" xr10:uid="{0279EF0D-F3D0-4771-952A-64AC01F59A1A}" cache="SegmentaçãodeDados_Vendedor" caption="Vendedor" style="SlicerStyleLight3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4F948E-1814-4974-9297-513E17035CA2}" name="tbl_vendas" displayName="tbl_vendas" ref="A1:K151" totalsRowShown="0" headerRowDxfId="7" headerRowBorderDxfId="5" tableBorderDxfId="6" headerRowCellStyle="Moeda">
  <autoFilter ref="A1:K151" xr:uid="{044F948E-1814-4974-9297-513E17035CA2}"/>
  <tableColumns count="11">
    <tableColumn id="1" xr3:uid="{9B13B522-6ABB-4FCA-BBE4-11B886F05DAB}" name="ID_Venda"/>
    <tableColumn id="2" xr3:uid="{6D4DFEA2-4126-4F21-B12D-53724CCC0C54}" name="Data" dataDxfId="4"/>
    <tableColumn id="3" xr3:uid="{54B076A6-4BDC-46FA-A9A7-464D249F3453}" name="Produto"/>
    <tableColumn id="4" xr3:uid="{A3A55A4B-0789-442C-B15B-01E356B1CBDA}" name="Categoria"/>
    <tableColumn id="5" xr3:uid="{36C92A6D-50DB-4D6E-BD1B-4AB7CC1B3211}" name="Quantidade"/>
    <tableColumn id="6" xr3:uid="{7ECCE024-3ACF-4D48-996C-D2A842391ECE}" name="Preço Unitário" dataDxfId="3"/>
    <tableColumn id="7" xr3:uid="{EC267A56-4A4D-4D2A-AC0A-2D40B945DDB9}" name="Faturamento" dataDxfId="2"/>
    <tableColumn id="8" xr3:uid="{74844E16-8382-4F7F-A5F0-5959D2CB8FBB}" name="Custo Total" dataDxfId="1" dataCellStyle="Moeda"/>
    <tableColumn id="9" xr3:uid="{59D93448-CA3B-4BCE-9713-DD498E1199D3}" name="Lucro" dataDxfId="0" dataCellStyle="Moeda"/>
    <tableColumn id="10" xr3:uid="{2303E3F0-9901-463F-8C60-A5A700C73C9E}" name="Região"/>
    <tableColumn id="11" xr3:uid="{B6C4D9D2-1D7C-40EE-9D52-D2E48A4695ED}" name="Vendedor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showGridLines="0" topLeftCell="A26" workbookViewId="0">
      <selection activeCell="J1" sqref="J1:J1048576"/>
    </sheetView>
  </sheetViews>
  <sheetFormatPr defaultRowHeight="15"/>
  <cols>
    <col min="1" max="1" width="11.7109375" customWidth="1"/>
    <col min="2" max="2" width="10.7109375" style="2" bestFit="1" customWidth="1"/>
    <col min="3" max="3" width="41" customWidth="1"/>
    <col min="4" max="4" width="11.5703125" customWidth="1"/>
    <col min="5" max="5" width="13.5703125" customWidth="1"/>
    <col min="6" max="6" width="16" style="1" customWidth="1"/>
    <col min="7" max="7" width="14.5703125" style="1" customWidth="1"/>
    <col min="8" max="8" width="13" style="3" customWidth="1"/>
    <col min="9" max="9" width="12.140625" style="3" bestFit="1" customWidth="1"/>
    <col min="10" max="10" width="14" customWidth="1"/>
    <col min="11" max="11" width="13" customWidth="1"/>
  </cols>
  <sheetData>
    <row r="1" spans="1:1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4" t="s">
        <v>9</v>
      </c>
      <c r="K1" s="4" t="s">
        <v>10</v>
      </c>
    </row>
    <row r="2" spans="1:11">
      <c r="A2" t="s">
        <v>11</v>
      </c>
      <c r="B2" s="2">
        <v>45658</v>
      </c>
      <c r="C2" t="s">
        <v>12</v>
      </c>
      <c r="D2" t="s">
        <v>13</v>
      </c>
      <c r="E2">
        <v>3</v>
      </c>
      <c r="F2" s="1">
        <v>350</v>
      </c>
      <c r="G2" s="1">
        <v>1050</v>
      </c>
      <c r="H2" s="3">
        <v>450</v>
      </c>
      <c r="I2" s="3">
        <v>600</v>
      </c>
      <c r="J2" t="s">
        <v>14</v>
      </c>
      <c r="K2" t="s">
        <v>15</v>
      </c>
    </row>
    <row r="3" spans="1:11">
      <c r="A3" t="s">
        <v>16</v>
      </c>
      <c r="B3" s="2">
        <v>45665</v>
      </c>
      <c r="C3" t="s">
        <v>17</v>
      </c>
      <c r="D3" t="s">
        <v>18</v>
      </c>
      <c r="E3">
        <v>3</v>
      </c>
      <c r="F3" s="1">
        <v>450</v>
      </c>
      <c r="G3" s="1">
        <v>1350</v>
      </c>
      <c r="H3" s="3">
        <v>750</v>
      </c>
      <c r="I3" s="3">
        <v>600</v>
      </c>
      <c r="J3" t="s">
        <v>14</v>
      </c>
      <c r="K3" t="s">
        <v>19</v>
      </c>
    </row>
    <row r="4" spans="1:11">
      <c r="A4" t="s">
        <v>20</v>
      </c>
      <c r="B4" s="2">
        <v>45666</v>
      </c>
      <c r="C4" t="s">
        <v>21</v>
      </c>
      <c r="D4" t="s">
        <v>22</v>
      </c>
      <c r="E4">
        <v>5</v>
      </c>
      <c r="F4" s="1">
        <v>4500</v>
      </c>
      <c r="G4" s="1">
        <v>22500</v>
      </c>
      <c r="H4" s="3">
        <v>19000</v>
      </c>
      <c r="I4" s="3">
        <v>3500</v>
      </c>
      <c r="J4" t="s">
        <v>23</v>
      </c>
      <c r="K4" t="s">
        <v>15</v>
      </c>
    </row>
    <row r="5" spans="1:11">
      <c r="A5" t="s">
        <v>24</v>
      </c>
      <c r="B5" s="2">
        <v>45667</v>
      </c>
      <c r="C5" t="s">
        <v>12</v>
      </c>
      <c r="D5" t="s">
        <v>13</v>
      </c>
      <c r="E5">
        <v>1</v>
      </c>
      <c r="F5" s="1">
        <v>350</v>
      </c>
      <c r="G5" s="1">
        <v>350</v>
      </c>
      <c r="H5" s="3">
        <v>150</v>
      </c>
      <c r="I5" s="3">
        <v>200</v>
      </c>
      <c r="J5" t="s">
        <v>23</v>
      </c>
      <c r="K5" t="s">
        <v>15</v>
      </c>
    </row>
    <row r="6" spans="1:11">
      <c r="A6" t="s">
        <v>25</v>
      </c>
      <c r="B6" s="2">
        <v>45669</v>
      </c>
      <c r="C6" t="s">
        <v>26</v>
      </c>
      <c r="D6" t="s">
        <v>13</v>
      </c>
      <c r="E6">
        <v>3</v>
      </c>
      <c r="F6" s="1">
        <v>250</v>
      </c>
      <c r="G6" s="1">
        <v>750</v>
      </c>
      <c r="H6" s="3">
        <v>300</v>
      </c>
      <c r="I6" s="3">
        <v>450</v>
      </c>
      <c r="J6" t="s">
        <v>23</v>
      </c>
      <c r="K6" t="s">
        <v>15</v>
      </c>
    </row>
    <row r="7" spans="1:11">
      <c r="A7" t="s">
        <v>27</v>
      </c>
      <c r="B7" s="2">
        <v>45671</v>
      </c>
      <c r="C7" t="s">
        <v>28</v>
      </c>
      <c r="D7" t="s">
        <v>13</v>
      </c>
      <c r="E7">
        <v>1</v>
      </c>
      <c r="F7" s="1">
        <v>300</v>
      </c>
      <c r="G7" s="1">
        <v>300</v>
      </c>
      <c r="H7" s="3">
        <v>120</v>
      </c>
      <c r="I7" s="3">
        <v>180</v>
      </c>
      <c r="J7" t="s">
        <v>29</v>
      </c>
      <c r="K7" t="s">
        <v>19</v>
      </c>
    </row>
    <row r="8" spans="1:11">
      <c r="A8" t="s">
        <v>30</v>
      </c>
      <c r="B8" s="2">
        <v>45672</v>
      </c>
      <c r="C8" t="s">
        <v>28</v>
      </c>
      <c r="D8" t="s">
        <v>13</v>
      </c>
      <c r="E8">
        <v>1</v>
      </c>
      <c r="F8" s="1">
        <v>300</v>
      </c>
      <c r="G8" s="1">
        <v>300</v>
      </c>
      <c r="H8" s="3">
        <v>120</v>
      </c>
      <c r="I8" s="3">
        <v>180</v>
      </c>
      <c r="J8" t="s">
        <v>31</v>
      </c>
      <c r="K8" t="s">
        <v>15</v>
      </c>
    </row>
    <row r="9" spans="1:11">
      <c r="A9" t="s">
        <v>32</v>
      </c>
      <c r="B9" s="2">
        <v>45675</v>
      </c>
      <c r="C9" t="s">
        <v>17</v>
      </c>
      <c r="D9" t="s">
        <v>18</v>
      </c>
      <c r="E9">
        <v>5</v>
      </c>
      <c r="F9" s="1">
        <v>450</v>
      </c>
      <c r="G9" s="1">
        <v>2250</v>
      </c>
      <c r="H9" s="3">
        <v>1250</v>
      </c>
      <c r="I9" s="3">
        <v>1000</v>
      </c>
      <c r="J9" t="s">
        <v>23</v>
      </c>
      <c r="K9" t="s">
        <v>19</v>
      </c>
    </row>
    <row r="10" spans="1:11">
      <c r="A10" t="s">
        <v>33</v>
      </c>
      <c r="B10" s="2">
        <v>45676</v>
      </c>
      <c r="C10" t="s">
        <v>12</v>
      </c>
      <c r="D10" t="s">
        <v>13</v>
      </c>
      <c r="E10">
        <v>5</v>
      </c>
      <c r="F10" s="1">
        <v>350</v>
      </c>
      <c r="G10" s="1">
        <v>1750</v>
      </c>
      <c r="H10" s="3">
        <v>750</v>
      </c>
      <c r="I10" s="3">
        <v>1000</v>
      </c>
      <c r="J10" t="s">
        <v>23</v>
      </c>
      <c r="K10" t="s">
        <v>19</v>
      </c>
    </row>
    <row r="11" spans="1:11">
      <c r="A11" t="s">
        <v>34</v>
      </c>
      <c r="B11" s="2">
        <v>45677</v>
      </c>
      <c r="C11" t="s">
        <v>35</v>
      </c>
      <c r="D11" t="s">
        <v>36</v>
      </c>
      <c r="E11">
        <v>3</v>
      </c>
      <c r="F11" s="1">
        <v>150</v>
      </c>
      <c r="G11" s="1">
        <v>450</v>
      </c>
      <c r="H11" s="3">
        <v>150</v>
      </c>
      <c r="I11" s="3">
        <v>300</v>
      </c>
      <c r="J11" t="s">
        <v>23</v>
      </c>
      <c r="K11" t="s">
        <v>37</v>
      </c>
    </row>
    <row r="12" spans="1:11">
      <c r="A12" t="s">
        <v>38</v>
      </c>
      <c r="B12" s="2">
        <v>45679</v>
      </c>
      <c r="C12" t="s">
        <v>39</v>
      </c>
      <c r="D12" t="s">
        <v>18</v>
      </c>
      <c r="E12">
        <v>4</v>
      </c>
      <c r="F12" s="1">
        <v>800</v>
      </c>
      <c r="G12" s="1">
        <v>3200</v>
      </c>
      <c r="H12" s="3">
        <v>2000</v>
      </c>
      <c r="I12" s="3">
        <v>1200</v>
      </c>
      <c r="J12" t="s">
        <v>29</v>
      </c>
      <c r="K12" t="s">
        <v>40</v>
      </c>
    </row>
    <row r="13" spans="1:11">
      <c r="A13" t="s">
        <v>41</v>
      </c>
      <c r="B13" s="2">
        <v>45684</v>
      </c>
      <c r="C13" t="s">
        <v>39</v>
      </c>
      <c r="D13" t="s">
        <v>18</v>
      </c>
      <c r="E13">
        <v>5</v>
      </c>
      <c r="F13" s="1">
        <v>800</v>
      </c>
      <c r="G13" s="1">
        <v>4000</v>
      </c>
      <c r="H13" s="3">
        <v>2500</v>
      </c>
      <c r="I13" s="3">
        <v>1500</v>
      </c>
      <c r="J13" t="s">
        <v>29</v>
      </c>
      <c r="K13" t="s">
        <v>40</v>
      </c>
    </row>
    <row r="14" spans="1:11">
      <c r="A14" t="s">
        <v>42</v>
      </c>
      <c r="B14" s="2">
        <v>45685</v>
      </c>
      <c r="C14" t="s">
        <v>43</v>
      </c>
      <c r="D14" t="s">
        <v>22</v>
      </c>
      <c r="E14">
        <v>3</v>
      </c>
      <c r="F14" s="1">
        <v>2500</v>
      </c>
      <c r="G14" s="1">
        <v>7500</v>
      </c>
      <c r="H14" s="3">
        <v>6000</v>
      </c>
      <c r="I14" s="3">
        <v>1500</v>
      </c>
      <c r="J14" t="s">
        <v>23</v>
      </c>
      <c r="K14" t="s">
        <v>15</v>
      </c>
    </row>
    <row r="15" spans="1:11">
      <c r="A15" t="s">
        <v>44</v>
      </c>
      <c r="B15" s="2">
        <v>45685</v>
      </c>
      <c r="C15" t="s">
        <v>26</v>
      </c>
      <c r="D15" t="s">
        <v>13</v>
      </c>
      <c r="E15">
        <v>1</v>
      </c>
      <c r="F15" s="1">
        <v>250</v>
      </c>
      <c r="G15" s="1">
        <v>250</v>
      </c>
      <c r="H15" s="3">
        <v>100</v>
      </c>
      <c r="I15" s="3">
        <v>150</v>
      </c>
      <c r="J15" t="s">
        <v>31</v>
      </c>
      <c r="K15" t="s">
        <v>19</v>
      </c>
    </row>
    <row r="16" spans="1:11">
      <c r="A16" t="s">
        <v>45</v>
      </c>
      <c r="B16" s="2">
        <v>45686</v>
      </c>
      <c r="C16" t="s">
        <v>17</v>
      </c>
      <c r="D16" t="s">
        <v>18</v>
      </c>
      <c r="E16">
        <v>2</v>
      </c>
      <c r="F16" s="1">
        <v>450</v>
      </c>
      <c r="G16" s="1">
        <v>900</v>
      </c>
      <c r="H16" s="3">
        <v>500</v>
      </c>
      <c r="I16" s="3">
        <v>400</v>
      </c>
      <c r="J16" t="s">
        <v>14</v>
      </c>
      <c r="K16" t="s">
        <v>37</v>
      </c>
    </row>
    <row r="17" spans="1:11">
      <c r="A17" t="s">
        <v>46</v>
      </c>
      <c r="B17" s="2">
        <v>45686</v>
      </c>
      <c r="C17" t="s">
        <v>21</v>
      </c>
      <c r="D17" t="s">
        <v>22</v>
      </c>
      <c r="E17">
        <v>2</v>
      </c>
      <c r="F17" s="1">
        <v>4500</v>
      </c>
      <c r="G17" s="1">
        <v>9000</v>
      </c>
      <c r="H17" s="3">
        <v>7600</v>
      </c>
      <c r="I17" s="3">
        <v>1400</v>
      </c>
      <c r="J17" t="s">
        <v>29</v>
      </c>
      <c r="K17" t="s">
        <v>40</v>
      </c>
    </row>
    <row r="18" spans="1:11">
      <c r="A18" t="s">
        <v>47</v>
      </c>
      <c r="B18" s="2">
        <v>45688</v>
      </c>
      <c r="C18" t="s">
        <v>35</v>
      </c>
      <c r="D18" t="s">
        <v>36</v>
      </c>
      <c r="E18">
        <v>5</v>
      </c>
      <c r="F18" s="1">
        <v>150</v>
      </c>
      <c r="G18" s="1">
        <v>750</v>
      </c>
      <c r="H18" s="3">
        <v>250</v>
      </c>
      <c r="I18" s="3">
        <v>500</v>
      </c>
      <c r="J18" t="s">
        <v>48</v>
      </c>
      <c r="K18" t="s">
        <v>49</v>
      </c>
    </row>
    <row r="19" spans="1:11">
      <c r="A19" t="s">
        <v>50</v>
      </c>
      <c r="B19" s="2">
        <v>45694</v>
      </c>
      <c r="C19" t="s">
        <v>35</v>
      </c>
      <c r="D19" t="s">
        <v>36</v>
      </c>
      <c r="E19">
        <v>4</v>
      </c>
      <c r="F19" s="1">
        <v>150</v>
      </c>
      <c r="G19" s="1">
        <v>600</v>
      </c>
      <c r="H19" s="3">
        <v>200</v>
      </c>
      <c r="I19" s="3">
        <v>400</v>
      </c>
      <c r="J19" t="s">
        <v>29</v>
      </c>
      <c r="K19" t="s">
        <v>49</v>
      </c>
    </row>
    <row r="20" spans="1:11">
      <c r="A20" t="s">
        <v>51</v>
      </c>
      <c r="B20" s="2">
        <v>45697</v>
      </c>
      <c r="C20" t="s">
        <v>35</v>
      </c>
      <c r="D20" t="s">
        <v>36</v>
      </c>
      <c r="E20">
        <v>5</v>
      </c>
      <c r="F20" s="1">
        <v>150</v>
      </c>
      <c r="G20" s="1">
        <v>750</v>
      </c>
      <c r="H20" s="3">
        <v>250</v>
      </c>
      <c r="I20" s="3">
        <v>500</v>
      </c>
      <c r="J20" t="s">
        <v>29</v>
      </c>
      <c r="K20" t="s">
        <v>15</v>
      </c>
    </row>
    <row r="21" spans="1:11">
      <c r="A21" t="s">
        <v>52</v>
      </c>
      <c r="B21" s="2">
        <v>45699</v>
      </c>
      <c r="C21" t="s">
        <v>12</v>
      </c>
      <c r="D21" t="s">
        <v>13</v>
      </c>
      <c r="E21">
        <v>3</v>
      </c>
      <c r="F21" s="1">
        <v>350</v>
      </c>
      <c r="G21" s="1">
        <v>1050</v>
      </c>
      <c r="H21" s="3">
        <v>450</v>
      </c>
      <c r="I21" s="3">
        <v>600</v>
      </c>
      <c r="J21" t="s">
        <v>29</v>
      </c>
      <c r="K21" t="s">
        <v>40</v>
      </c>
    </row>
    <row r="22" spans="1:11">
      <c r="A22" t="s">
        <v>53</v>
      </c>
      <c r="B22" s="2">
        <v>45700</v>
      </c>
      <c r="C22" t="s">
        <v>12</v>
      </c>
      <c r="D22" t="s">
        <v>13</v>
      </c>
      <c r="E22">
        <v>1</v>
      </c>
      <c r="F22" s="1">
        <v>350</v>
      </c>
      <c r="G22" s="1">
        <v>350</v>
      </c>
      <c r="H22" s="3">
        <v>150</v>
      </c>
      <c r="I22" s="3">
        <v>200</v>
      </c>
      <c r="J22" t="s">
        <v>48</v>
      </c>
      <c r="K22" t="s">
        <v>40</v>
      </c>
    </row>
    <row r="23" spans="1:11">
      <c r="A23" t="s">
        <v>54</v>
      </c>
      <c r="B23" s="2">
        <v>45713</v>
      </c>
      <c r="C23" t="s">
        <v>12</v>
      </c>
      <c r="D23" t="s">
        <v>13</v>
      </c>
      <c r="E23">
        <v>5</v>
      </c>
      <c r="F23" s="1">
        <v>350</v>
      </c>
      <c r="G23" s="1">
        <v>1750</v>
      </c>
      <c r="H23" s="3">
        <v>750</v>
      </c>
      <c r="I23" s="3">
        <v>1000</v>
      </c>
      <c r="J23" t="s">
        <v>31</v>
      </c>
      <c r="K23" t="s">
        <v>49</v>
      </c>
    </row>
    <row r="24" spans="1:11">
      <c r="A24" t="s">
        <v>55</v>
      </c>
      <c r="B24" s="2">
        <v>45715</v>
      </c>
      <c r="C24" t="s">
        <v>43</v>
      </c>
      <c r="D24" t="s">
        <v>22</v>
      </c>
      <c r="E24">
        <v>5</v>
      </c>
      <c r="F24" s="1">
        <v>2500</v>
      </c>
      <c r="G24" s="1">
        <v>12500</v>
      </c>
      <c r="H24" s="3">
        <v>10000</v>
      </c>
      <c r="I24" s="3">
        <v>2500</v>
      </c>
      <c r="J24" t="s">
        <v>23</v>
      </c>
      <c r="K24" t="s">
        <v>37</v>
      </c>
    </row>
    <row r="25" spans="1:11">
      <c r="A25" t="s">
        <v>56</v>
      </c>
      <c r="B25" s="2">
        <v>45716</v>
      </c>
      <c r="C25" t="s">
        <v>26</v>
      </c>
      <c r="D25" t="s">
        <v>13</v>
      </c>
      <c r="E25">
        <v>2</v>
      </c>
      <c r="F25" s="1">
        <v>250</v>
      </c>
      <c r="G25" s="1">
        <v>500</v>
      </c>
      <c r="H25" s="3">
        <v>200</v>
      </c>
      <c r="I25" s="3">
        <v>300</v>
      </c>
      <c r="J25" t="s">
        <v>48</v>
      </c>
      <c r="K25" t="s">
        <v>40</v>
      </c>
    </row>
    <row r="26" spans="1:11">
      <c r="A26" t="s">
        <v>57</v>
      </c>
      <c r="B26" s="2">
        <v>45717</v>
      </c>
      <c r="C26" t="s">
        <v>12</v>
      </c>
      <c r="D26" t="s">
        <v>13</v>
      </c>
      <c r="E26">
        <v>3</v>
      </c>
      <c r="F26" s="1">
        <v>350</v>
      </c>
      <c r="G26" s="1">
        <v>1050</v>
      </c>
      <c r="H26" s="3">
        <v>450</v>
      </c>
      <c r="I26" s="3">
        <v>600</v>
      </c>
      <c r="J26" t="s">
        <v>14</v>
      </c>
      <c r="K26" t="s">
        <v>37</v>
      </c>
    </row>
    <row r="27" spans="1:11">
      <c r="A27" t="s">
        <v>58</v>
      </c>
      <c r="B27" s="2">
        <v>45718</v>
      </c>
      <c r="C27" t="s">
        <v>26</v>
      </c>
      <c r="D27" t="s">
        <v>13</v>
      </c>
      <c r="E27">
        <v>3</v>
      </c>
      <c r="F27" s="1">
        <v>250</v>
      </c>
      <c r="G27" s="1">
        <v>750</v>
      </c>
      <c r="H27" s="3">
        <v>300</v>
      </c>
      <c r="I27" s="3">
        <v>450</v>
      </c>
      <c r="J27" t="s">
        <v>23</v>
      </c>
      <c r="K27" t="s">
        <v>37</v>
      </c>
    </row>
    <row r="28" spans="1:11">
      <c r="A28" t="s">
        <v>59</v>
      </c>
      <c r="B28" s="2">
        <v>45724</v>
      </c>
      <c r="C28" t="s">
        <v>28</v>
      </c>
      <c r="D28" t="s">
        <v>13</v>
      </c>
      <c r="E28">
        <v>2</v>
      </c>
      <c r="F28" s="1">
        <v>300</v>
      </c>
      <c r="G28" s="1">
        <v>600</v>
      </c>
      <c r="H28" s="3">
        <v>240</v>
      </c>
      <c r="I28" s="3">
        <v>360</v>
      </c>
      <c r="J28" t="s">
        <v>29</v>
      </c>
      <c r="K28" t="s">
        <v>15</v>
      </c>
    </row>
    <row r="29" spans="1:11">
      <c r="A29" t="s">
        <v>60</v>
      </c>
      <c r="B29" s="2">
        <v>45729</v>
      </c>
      <c r="C29" t="s">
        <v>39</v>
      </c>
      <c r="D29" t="s">
        <v>18</v>
      </c>
      <c r="E29">
        <v>2</v>
      </c>
      <c r="F29" s="1">
        <v>800</v>
      </c>
      <c r="G29" s="1">
        <v>1600</v>
      </c>
      <c r="H29" s="3">
        <v>1000</v>
      </c>
      <c r="I29" s="3">
        <v>600</v>
      </c>
      <c r="J29" t="s">
        <v>23</v>
      </c>
      <c r="K29" t="s">
        <v>49</v>
      </c>
    </row>
    <row r="30" spans="1:11">
      <c r="A30" t="s">
        <v>61</v>
      </c>
      <c r="B30" s="2">
        <v>45731</v>
      </c>
      <c r="C30" t="s">
        <v>35</v>
      </c>
      <c r="D30" t="s">
        <v>36</v>
      </c>
      <c r="E30">
        <v>2</v>
      </c>
      <c r="F30" s="1">
        <v>150</v>
      </c>
      <c r="G30" s="1">
        <v>300</v>
      </c>
      <c r="H30" s="3">
        <v>100</v>
      </c>
      <c r="I30" s="3">
        <v>200</v>
      </c>
      <c r="J30" t="s">
        <v>14</v>
      </c>
      <c r="K30" t="s">
        <v>40</v>
      </c>
    </row>
    <row r="31" spans="1:11">
      <c r="A31" t="s">
        <v>62</v>
      </c>
      <c r="B31" s="2">
        <v>45731</v>
      </c>
      <c r="C31" t="s">
        <v>21</v>
      </c>
      <c r="D31" t="s">
        <v>22</v>
      </c>
      <c r="E31">
        <v>1</v>
      </c>
      <c r="F31" s="1">
        <v>4500</v>
      </c>
      <c r="G31" s="1">
        <v>4500</v>
      </c>
      <c r="H31" s="3">
        <v>3800</v>
      </c>
      <c r="I31" s="3">
        <v>700</v>
      </c>
      <c r="J31" t="s">
        <v>29</v>
      </c>
      <c r="K31" t="s">
        <v>15</v>
      </c>
    </row>
    <row r="32" spans="1:11">
      <c r="A32" t="s">
        <v>63</v>
      </c>
      <c r="B32" s="2">
        <v>45731</v>
      </c>
      <c r="C32" t="s">
        <v>28</v>
      </c>
      <c r="D32" t="s">
        <v>13</v>
      </c>
      <c r="E32">
        <v>4</v>
      </c>
      <c r="F32" s="1">
        <v>300</v>
      </c>
      <c r="G32" s="1">
        <v>1200</v>
      </c>
      <c r="H32" s="3">
        <v>480</v>
      </c>
      <c r="I32" s="3">
        <v>720</v>
      </c>
      <c r="J32" t="s">
        <v>48</v>
      </c>
      <c r="K32" t="s">
        <v>15</v>
      </c>
    </row>
    <row r="33" spans="1:11">
      <c r="A33" t="s">
        <v>64</v>
      </c>
      <c r="B33" s="2">
        <v>45735</v>
      </c>
      <c r="C33" t="s">
        <v>12</v>
      </c>
      <c r="D33" t="s">
        <v>13</v>
      </c>
      <c r="E33">
        <v>5</v>
      </c>
      <c r="F33" s="1">
        <v>350</v>
      </c>
      <c r="G33" s="1">
        <v>1750</v>
      </c>
      <c r="H33" s="3">
        <v>750</v>
      </c>
      <c r="I33" s="3">
        <v>1000</v>
      </c>
      <c r="J33" t="s">
        <v>14</v>
      </c>
      <c r="K33" t="s">
        <v>15</v>
      </c>
    </row>
    <row r="34" spans="1:11">
      <c r="A34" t="s">
        <v>65</v>
      </c>
      <c r="B34" s="2">
        <v>45738</v>
      </c>
      <c r="C34" t="s">
        <v>35</v>
      </c>
      <c r="D34" t="s">
        <v>36</v>
      </c>
      <c r="E34">
        <v>2</v>
      </c>
      <c r="F34" s="1">
        <v>150</v>
      </c>
      <c r="G34" s="1">
        <v>300</v>
      </c>
      <c r="H34" s="3">
        <v>100</v>
      </c>
      <c r="I34" s="3">
        <v>200</v>
      </c>
      <c r="J34" t="s">
        <v>14</v>
      </c>
      <c r="K34" t="s">
        <v>19</v>
      </c>
    </row>
    <row r="35" spans="1:11">
      <c r="A35" t="s">
        <v>66</v>
      </c>
      <c r="B35" s="2">
        <v>45739</v>
      </c>
      <c r="C35" t="s">
        <v>35</v>
      </c>
      <c r="D35" t="s">
        <v>36</v>
      </c>
      <c r="E35">
        <v>2</v>
      </c>
      <c r="F35" s="1">
        <v>150</v>
      </c>
      <c r="G35" s="1">
        <v>300</v>
      </c>
      <c r="H35" s="3">
        <v>100</v>
      </c>
      <c r="I35" s="3">
        <v>200</v>
      </c>
      <c r="J35" t="s">
        <v>31</v>
      </c>
      <c r="K35" t="s">
        <v>40</v>
      </c>
    </row>
    <row r="36" spans="1:11">
      <c r="A36" t="s">
        <v>67</v>
      </c>
      <c r="B36" s="2">
        <v>45741</v>
      </c>
      <c r="C36" t="s">
        <v>26</v>
      </c>
      <c r="D36" t="s">
        <v>13</v>
      </c>
      <c r="E36">
        <v>4</v>
      </c>
      <c r="F36" s="1">
        <v>250</v>
      </c>
      <c r="G36" s="1">
        <v>1000</v>
      </c>
      <c r="H36" s="3">
        <v>400</v>
      </c>
      <c r="I36" s="3">
        <v>600</v>
      </c>
      <c r="J36" t="s">
        <v>29</v>
      </c>
      <c r="K36" t="s">
        <v>37</v>
      </c>
    </row>
    <row r="37" spans="1:11">
      <c r="A37" t="s">
        <v>68</v>
      </c>
      <c r="B37" s="2">
        <v>45747</v>
      </c>
      <c r="C37" t="s">
        <v>21</v>
      </c>
      <c r="D37" t="s">
        <v>22</v>
      </c>
      <c r="E37">
        <v>1</v>
      </c>
      <c r="F37" s="1">
        <v>4500</v>
      </c>
      <c r="G37" s="1">
        <v>4500</v>
      </c>
      <c r="H37" s="3">
        <v>3800</v>
      </c>
      <c r="I37" s="3">
        <v>700</v>
      </c>
      <c r="J37" t="s">
        <v>29</v>
      </c>
      <c r="K37" t="s">
        <v>15</v>
      </c>
    </row>
    <row r="38" spans="1:11">
      <c r="A38" t="s">
        <v>69</v>
      </c>
      <c r="B38" s="2">
        <v>45749</v>
      </c>
      <c r="C38" t="s">
        <v>17</v>
      </c>
      <c r="D38" t="s">
        <v>18</v>
      </c>
      <c r="E38">
        <v>5</v>
      </c>
      <c r="F38" s="1">
        <v>450</v>
      </c>
      <c r="G38" s="1">
        <v>2250</v>
      </c>
      <c r="H38" s="3">
        <v>1250</v>
      </c>
      <c r="I38" s="3">
        <v>1000</v>
      </c>
      <c r="J38" t="s">
        <v>48</v>
      </c>
      <c r="K38" t="s">
        <v>37</v>
      </c>
    </row>
    <row r="39" spans="1:11">
      <c r="A39" t="s">
        <v>70</v>
      </c>
      <c r="B39" s="2">
        <v>45751</v>
      </c>
      <c r="C39" t="s">
        <v>26</v>
      </c>
      <c r="D39" t="s">
        <v>13</v>
      </c>
      <c r="E39">
        <v>5</v>
      </c>
      <c r="F39" s="1">
        <v>250</v>
      </c>
      <c r="G39" s="1">
        <v>1250</v>
      </c>
      <c r="H39" s="3">
        <v>500</v>
      </c>
      <c r="I39" s="3">
        <v>750</v>
      </c>
      <c r="J39" t="s">
        <v>31</v>
      </c>
      <c r="K39" t="s">
        <v>40</v>
      </c>
    </row>
    <row r="40" spans="1:11">
      <c r="A40" t="s">
        <v>71</v>
      </c>
      <c r="B40" s="2">
        <v>45751</v>
      </c>
      <c r="C40" t="s">
        <v>21</v>
      </c>
      <c r="D40" t="s">
        <v>22</v>
      </c>
      <c r="E40">
        <v>2</v>
      </c>
      <c r="F40" s="1">
        <v>4500</v>
      </c>
      <c r="G40" s="1">
        <v>9000</v>
      </c>
      <c r="H40" s="3">
        <v>7600</v>
      </c>
      <c r="I40" s="3">
        <v>1400</v>
      </c>
      <c r="J40" t="s">
        <v>14</v>
      </c>
      <c r="K40" t="s">
        <v>40</v>
      </c>
    </row>
    <row r="41" spans="1:11">
      <c r="A41" t="s">
        <v>72</v>
      </c>
      <c r="B41" s="2">
        <v>45753</v>
      </c>
      <c r="C41" t="s">
        <v>12</v>
      </c>
      <c r="D41" t="s">
        <v>13</v>
      </c>
      <c r="E41">
        <v>1</v>
      </c>
      <c r="F41" s="1">
        <v>350</v>
      </c>
      <c r="G41" s="1">
        <v>350</v>
      </c>
      <c r="H41" s="3">
        <v>150</v>
      </c>
      <c r="I41" s="3">
        <v>200</v>
      </c>
      <c r="J41" t="s">
        <v>23</v>
      </c>
      <c r="K41" t="s">
        <v>19</v>
      </c>
    </row>
    <row r="42" spans="1:11">
      <c r="A42" t="s">
        <v>73</v>
      </c>
      <c r="B42" s="2">
        <v>45755</v>
      </c>
      <c r="C42" t="s">
        <v>28</v>
      </c>
      <c r="D42" t="s">
        <v>13</v>
      </c>
      <c r="E42">
        <v>2</v>
      </c>
      <c r="F42" s="1">
        <v>300</v>
      </c>
      <c r="G42" s="1">
        <v>600</v>
      </c>
      <c r="H42" s="3">
        <v>240</v>
      </c>
      <c r="I42" s="3">
        <v>360</v>
      </c>
      <c r="J42" t="s">
        <v>48</v>
      </c>
      <c r="K42" t="s">
        <v>49</v>
      </c>
    </row>
    <row r="43" spans="1:11">
      <c r="A43" t="s">
        <v>74</v>
      </c>
      <c r="B43" s="2">
        <v>45757</v>
      </c>
      <c r="C43" t="s">
        <v>12</v>
      </c>
      <c r="D43" t="s">
        <v>13</v>
      </c>
      <c r="E43">
        <v>5</v>
      </c>
      <c r="F43" s="1">
        <v>350</v>
      </c>
      <c r="G43" s="1">
        <v>1750</v>
      </c>
      <c r="H43" s="3">
        <v>750</v>
      </c>
      <c r="I43" s="3">
        <v>1000</v>
      </c>
      <c r="J43" t="s">
        <v>23</v>
      </c>
      <c r="K43" t="s">
        <v>19</v>
      </c>
    </row>
    <row r="44" spans="1:11">
      <c r="A44" t="s">
        <v>75</v>
      </c>
      <c r="B44" s="2">
        <v>45757</v>
      </c>
      <c r="C44" t="s">
        <v>35</v>
      </c>
      <c r="D44" t="s">
        <v>36</v>
      </c>
      <c r="E44">
        <v>5</v>
      </c>
      <c r="F44" s="1">
        <v>150</v>
      </c>
      <c r="G44" s="1">
        <v>750</v>
      </c>
      <c r="H44" s="3">
        <v>250</v>
      </c>
      <c r="I44" s="3">
        <v>500</v>
      </c>
      <c r="J44" t="s">
        <v>23</v>
      </c>
      <c r="K44" t="s">
        <v>40</v>
      </c>
    </row>
    <row r="45" spans="1:11">
      <c r="A45" t="s">
        <v>76</v>
      </c>
      <c r="B45" s="2">
        <v>45758</v>
      </c>
      <c r="C45" t="s">
        <v>35</v>
      </c>
      <c r="D45" t="s">
        <v>36</v>
      </c>
      <c r="E45">
        <v>1</v>
      </c>
      <c r="F45" s="1">
        <v>150</v>
      </c>
      <c r="G45" s="1">
        <v>150</v>
      </c>
      <c r="H45" s="3">
        <v>50</v>
      </c>
      <c r="I45" s="3">
        <v>100</v>
      </c>
      <c r="J45" t="s">
        <v>48</v>
      </c>
      <c r="K45" t="s">
        <v>49</v>
      </c>
    </row>
    <row r="46" spans="1:11">
      <c r="A46" t="s">
        <v>77</v>
      </c>
      <c r="B46" s="2">
        <v>45766</v>
      </c>
      <c r="C46" t="s">
        <v>12</v>
      </c>
      <c r="D46" t="s">
        <v>13</v>
      </c>
      <c r="E46">
        <v>4</v>
      </c>
      <c r="F46" s="1">
        <v>350</v>
      </c>
      <c r="G46" s="1">
        <v>1400</v>
      </c>
      <c r="H46" s="3">
        <v>600</v>
      </c>
      <c r="I46" s="3">
        <v>800</v>
      </c>
      <c r="J46" t="s">
        <v>14</v>
      </c>
      <c r="K46" t="s">
        <v>15</v>
      </c>
    </row>
    <row r="47" spans="1:11">
      <c r="A47" t="s">
        <v>78</v>
      </c>
      <c r="B47" s="2">
        <v>45768</v>
      </c>
      <c r="C47" t="s">
        <v>21</v>
      </c>
      <c r="D47" t="s">
        <v>22</v>
      </c>
      <c r="E47">
        <v>4</v>
      </c>
      <c r="F47" s="1">
        <v>4500</v>
      </c>
      <c r="G47" s="1">
        <v>18000</v>
      </c>
      <c r="H47" s="3">
        <v>15200</v>
      </c>
      <c r="I47" s="3">
        <v>2800</v>
      </c>
      <c r="J47" t="s">
        <v>29</v>
      </c>
      <c r="K47" t="s">
        <v>40</v>
      </c>
    </row>
    <row r="48" spans="1:11">
      <c r="A48" t="s">
        <v>79</v>
      </c>
      <c r="B48" s="2">
        <v>45771</v>
      </c>
      <c r="C48" t="s">
        <v>26</v>
      </c>
      <c r="D48" t="s">
        <v>13</v>
      </c>
      <c r="E48">
        <v>3</v>
      </c>
      <c r="F48" s="1">
        <v>250</v>
      </c>
      <c r="G48" s="1">
        <v>750</v>
      </c>
      <c r="H48" s="3">
        <v>300</v>
      </c>
      <c r="I48" s="3">
        <v>450</v>
      </c>
      <c r="J48" t="s">
        <v>48</v>
      </c>
      <c r="K48" t="s">
        <v>15</v>
      </c>
    </row>
    <row r="49" spans="1:11">
      <c r="A49" t="s">
        <v>80</v>
      </c>
      <c r="B49" s="2">
        <v>45776</v>
      </c>
      <c r="C49" t="s">
        <v>28</v>
      </c>
      <c r="D49" t="s">
        <v>13</v>
      </c>
      <c r="E49">
        <v>2</v>
      </c>
      <c r="F49" s="1">
        <v>300</v>
      </c>
      <c r="G49" s="1">
        <v>600</v>
      </c>
      <c r="H49" s="3">
        <v>240</v>
      </c>
      <c r="I49" s="3">
        <v>360</v>
      </c>
      <c r="J49" t="s">
        <v>31</v>
      </c>
      <c r="K49" t="s">
        <v>15</v>
      </c>
    </row>
    <row r="50" spans="1:11">
      <c r="A50" t="s">
        <v>81</v>
      </c>
      <c r="B50" s="2">
        <v>45777</v>
      </c>
      <c r="C50" t="s">
        <v>26</v>
      </c>
      <c r="D50" t="s">
        <v>13</v>
      </c>
      <c r="E50">
        <v>3</v>
      </c>
      <c r="F50" s="1">
        <v>250</v>
      </c>
      <c r="G50" s="1">
        <v>750</v>
      </c>
      <c r="H50" s="3">
        <v>300</v>
      </c>
      <c r="I50" s="3">
        <v>450</v>
      </c>
      <c r="J50" t="s">
        <v>48</v>
      </c>
      <c r="K50" t="s">
        <v>37</v>
      </c>
    </row>
    <row r="51" spans="1:11">
      <c r="A51" t="s">
        <v>82</v>
      </c>
      <c r="B51" s="2">
        <v>45777</v>
      </c>
      <c r="C51" t="s">
        <v>21</v>
      </c>
      <c r="D51" t="s">
        <v>22</v>
      </c>
      <c r="E51">
        <v>5</v>
      </c>
      <c r="F51" s="1">
        <v>4500</v>
      </c>
      <c r="G51" s="1">
        <v>22500</v>
      </c>
      <c r="H51" s="3">
        <v>19000</v>
      </c>
      <c r="I51" s="3">
        <v>3500</v>
      </c>
      <c r="J51" t="s">
        <v>48</v>
      </c>
      <c r="K51" t="s">
        <v>19</v>
      </c>
    </row>
    <row r="52" spans="1:11">
      <c r="A52" t="s">
        <v>83</v>
      </c>
      <c r="B52" s="2">
        <v>45779</v>
      </c>
      <c r="C52" t="s">
        <v>35</v>
      </c>
      <c r="D52" t="s">
        <v>36</v>
      </c>
      <c r="E52">
        <v>5</v>
      </c>
      <c r="F52" s="1">
        <v>150</v>
      </c>
      <c r="G52" s="1">
        <v>750</v>
      </c>
      <c r="H52" s="3">
        <v>250</v>
      </c>
      <c r="I52" s="3">
        <v>500</v>
      </c>
      <c r="J52" t="s">
        <v>14</v>
      </c>
      <c r="K52" t="s">
        <v>40</v>
      </c>
    </row>
    <row r="53" spans="1:11">
      <c r="A53" t="s">
        <v>84</v>
      </c>
      <c r="B53" s="2">
        <v>45788</v>
      </c>
      <c r="C53" t="s">
        <v>26</v>
      </c>
      <c r="D53" t="s">
        <v>13</v>
      </c>
      <c r="E53">
        <v>1</v>
      </c>
      <c r="F53" s="1">
        <v>250</v>
      </c>
      <c r="G53" s="1">
        <v>250</v>
      </c>
      <c r="H53" s="3">
        <v>100</v>
      </c>
      <c r="I53" s="3">
        <v>150</v>
      </c>
      <c r="J53" t="s">
        <v>23</v>
      </c>
      <c r="K53" t="s">
        <v>40</v>
      </c>
    </row>
    <row r="54" spans="1:11">
      <c r="A54" t="s">
        <v>85</v>
      </c>
      <c r="B54" s="2">
        <v>45790</v>
      </c>
      <c r="C54" t="s">
        <v>28</v>
      </c>
      <c r="D54" t="s">
        <v>13</v>
      </c>
      <c r="E54">
        <v>2</v>
      </c>
      <c r="F54" s="1">
        <v>300</v>
      </c>
      <c r="G54" s="1">
        <v>600</v>
      </c>
      <c r="H54" s="3">
        <v>240</v>
      </c>
      <c r="I54" s="3">
        <v>360</v>
      </c>
      <c r="J54" t="s">
        <v>31</v>
      </c>
      <c r="K54" t="s">
        <v>49</v>
      </c>
    </row>
    <row r="55" spans="1:11">
      <c r="A55" t="s">
        <v>86</v>
      </c>
      <c r="B55" s="2">
        <v>45790</v>
      </c>
      <c r="C55" t="s">
        <v>12</v>
      </c>
      <c r="D55" t="s">
        <v>13</v>
      </c>
      <c r="E55">
        <v>3</v>
      </c>
      <c r="F55" s="1">
        <v>350</v>
      </c>
      <c r="G55" s="1">
        <v>1050</v>
      </c>
      <c r="H55" s="3">
        <v>450</v>
      </c>
      <c r="I55" s="3">
        <v>600</v>
      </c>
      <c r="J55" t="s">
        <v>29</v>
      </c>
      <c r="K55" t="s">
        <v>15</v>
      </c>
    </row>
    <row r="56" spans="1:11">
      <c r="A56" t="s">
        <v>87</v>
      </c>
      <c r="B56" s="2">
        <v>45800</v>
      </c>
      <c r="C56" t="s">
        <v>17</v>
      </c>
      <c r="D56" t="s">
        <v>18</v>
      </c>
      <c r="E56">
        <v>5</v>
      </c>
      <c r="F56" s="1">
        <v>450</v>
      </c>
      <c r="G56" s="1">
        <v>2250</v>
      </c>
      <c r="H56" s="3">
        <v>1250</v>
      </c>
      <c r="I56" s="3">
        <v>1000</v>
      </c>
      <c r="J56" t="s">
        <v>48</v>
      </c>
      <c r="K56" t="s">
        <v>19</v>
      </c>
    </row>
    <row r="57" spans="1:11">
      <c r="A57" t="s">
        <v>88</v>
      </c>
      <c r="B57" s="2">
        <v>45801</v>
      </c>
      <c r="C57" t="s">
        <v>28</v>
      </c>
      <c r="D57" t="s">
        <v>13</v>
      </c>
      <c r="E57">
        <v>5</v>
      </c>
      <c r="F57" s="1">
        <v>300</v>
      </c>
      <c r="G57" s="1">
        <v>1500</v>
      </c>
      <c r="H57" s="3">
        <v>600</v>
      </c>
      <c r="I57" s="3">
        <v>900</v>
      </c>
      <c r="J57" t="s">
        <v>48</v>
      </c>
      <c r="K57" t="s">
        <v>37</v>
      </c>
    </row>
    <row r="58" spans="1:11">
      <c r="A58" t="s">
        <v>89</v>
      </c>
      <c r="B58" s="2">
        <v>45809</v>
      </c>
      <c r="C58" t="s">
        <v>17</v>
      </c>
      <c r="D58" t="s">
        <v>18</v>
      </c>
      <c r="E58">
        <v>1</v>
      </c>
      <c r="F58" s="1">
        <v>450</v>
      </c>
      <c r="G58" s="1">
        <v>450</v>
      </c>
      <c r="H58" s="3">
        <v>250</v>
      </c>
      <c r="I58" s="3">
        <v>200</v>
      </c>
      <c r="J58" t="s">
        <v>29</v>
      </c>
      <c r="K58" t="s">
        <v>40</v>
      </c>
    </row>
    <row r="59" spans="1:11">
      <c r="A59" t="s">
        <v>90</v>
      </c>
      <c r="B59" s="2">
        <v>45813</v>
      </c>
      <c r="C59" t="s">
        <v>39</v>
      </c>
      <c r="D59" t="s">
        <v>18</v>
      </c>
      <c r="E59">
        <v>2</v>
      </c>
      <c r="F59" s="1">
        <v>800</v>
      </c>
      <c r="G59" s="1">
        <v>1600</v>
      </c>
      <c r="H59" s="3">
        <v>1000</v>
      </c>
      <c r="I59" s="3">
        <v>600</v>
      </c>
      <c r="J59" t="s">
        <v>14</v>
      </c>
      <c r="K59" t="s">
        <v>49</v>
      </c>
    </row>
    <row r="60" spans="1:11">
      <c r="A60" t="s">
        <v>91</v>
      </c>
      <c r="B60" s="2">
        <v>45814</v>
      </c>
      <c r="C60" t="s">
        <v>12</v>
      </c>
      <c r="D60" t="s">
        <v>13</v>
      </c>
      <c r="E60">
        <v>1</v>
      </c>
      <c r="F60" s="1">
        <v>350</v>
      </c>
      <c r="G60" s="1">
        <v>350</v>
      </c>
      <c r="H60" s="3">
        <v>150</v>
      </c>
      <c r="I60" s="3">
        <v>200</v>
      </c>
      <c r="J60" t="s">
        <v>31</v>
      </c>
      <c r="K60" t="s">
        <v>40</v>
      </c>
    </row>
    <row r="61" spans="1:11">
      <c r="A61" t="s">
        <v>92</v>
      </c>
      <c r="B61" s="2">
        <v>45816</v>
      </c>
      <c r="C61" t="s">
        <v>43</v>
      </c>
      <c r="D61" t="s">
        <v>22</v>
      </c>
      <c r="E61">
        <v>5</v>
      </c>
      <c r="F61" s="1">
        <v>2500</v>
      </c>
      <c r="G61" s="1">
        <v>12500</v>
      </c>
      <c r="H61" s="3">
        <v>10000</v>
      </c>
      <c r="I61" s="3">
        <v>2500</v>
      </c>
      <c r="J61" t="s">
        <v>31</v>
      </c>
      <c r="K61" t="s">
        <v>37</v>
      </c>
    </row>
    <row r="62" spans="1:11">
      <c r="A62" t="s">
        <v>93</v>
      </c>
      <c r="B62" s="2">
        <v>45820</v>
      </c>
      <c r="C62" t="s">
        <v>39</v>
      </c>
      <c r="D62" t="s">
        <v>18</v>
      </c>
      <c r="E62">
        <v>1</v>
      </c>
      <c r="F62" s="1">
        <v>800</v>
      </c>
      <c r="G62" s="1">
        <v>800</v>
      </c>
      <c r="H62" s="3">
        <v>500</v>
      </c>
      <c r="I62" s="3">
        <v>300</v>
      </c>
      <c r="J62" t="s">
        <v>14</v>
      </c>
      <c r="K62" t="s">
        <v>40</v>
      </c>
    </row>
    <row r="63" spans="1:11">
      <c r="A63" t="s">
        <v>94</v>
      </c>
      <c r="B63" s="2">
        <v>45824</v>
      </c>
      <c r="C63" t="s">
        <v>21</v>
      </c>
      <c r="D63" t="s">
        <v>22</v>
      </c>
      <c r="E63">
        <v>1</v>
      </c>
      <c r="F63" s="1">
        <v>4500</v>
      </c>
      <c r="G63" s="1">
        <v>4500</v>
      </c>
      <c r="H63" s="3">
        <v>3800</v>
      </c>
      <c r="I63" s="3">
        <v>700</v>
      </c>
      <c r="J63" t="s">
        <v>29</v>
      </c>
      <c r="K63" t="s">
        <v>37</v>
      </c>
    </row>
    <row r="64" spans="1:11">
      <c r="A64" t="s">
        <v>95</v>
      </c>
      <c r="B64" s="2">
        <v>45824</v>
      </c>
      <c r="C64" t="s">
        <v>43</v>
      </c>
      <c r="D64" t="s">
        <v>22</v>
      </c>
      <c r="E64">
        <v>1</v>
      </c>
      <c r="F64" s="1">
        <v>2500</v>
      </c>
      <c r="G64" s="1">
        <v>2500</v>
      </c>
      <c r="H64" s="3">
        <v>2000</v>
      </c>
      <c r="I64" s="3">
        <v>500</v>
      </c>
      <c r="J64" t="s">
        <v>29</v>
      </c>
      <c r="K64" t="s">
        <v>49</v>
      </c>
    </row>
    <row r="65" spans="1:11">
      <c r="A65" t="s">
        <v>96</v>
      </c>
      <c r="B65" s="2">
        <v>45825</v>
      </c>
      <c r="C65" t="s">
        <v>26</v>
      </c>
      <c r="D65" t="s">
        <v>13</v>
      </c>
      <c r="E65">
        <v>3</v>
      </c>
      <c r="F65" s="1">
        <v>250</v>
      </c>
      <c r="G65" s="1">
        <v>750</v>
      </c>
      <c r="H65" s="3">
        <v>300</v>
      </c>
      <c r="I65" s="3">
        <v>450</v>
      </c>
      <c r="J65" t="s">
        <v>31</v>
      </c>
      <c r="K65" t="s">
        <v>49</v>
      </c>
    </row>
    <row r="66" spans="1:11">
      <c r="A66" t="s">
        <v>97</v>
      </c>
      <c r="B66" s="2">
        <v>45826</v>
      </c>
      <c r="C66" t="s">
        <v>26</v>
      </c>
      <c r="D66" t="s">
        <v>13</v>
      </c>
      <c r="E66">
        <v>4</v>
      </c>
      <c r="F66" s="1">
        <v>250</v>
      </c>
      <c r="G66" s="1">
        <v>1000</v>
      </c>
      <c r="H66" s="3">
        <v>400</v>
      </c>
      <c r="I66" s="3">
        <v>600</v>
      </c>
      <c r="J66" t="s">
        <v>14</v>
      </c>
      <c r="K66" t="s">
        <v>40</v>
      </c>
    </row>
    <row r="67" spans="1:11">
      <c r="A67" t="s">
        <v>98</v>
      </c>
      <c r="B67" s="2">
        <v>45828</v>
      </c>
      <c r="C67" t="s">
        <v>26</v>
      </c>
      <c r="D67" t="s">
        <v>13</v>
      </c>
      <c r="E67">
        <v>2</v>
      </c>
      <c r="F67" s="1">
        <v>250</v>
      </c>
      <c r="G67" s="1">
        <v>500</v>
      </c>
      <c r="H67" s="3">
        <v>200</v>
      </c>
      <c r="I67" s="3">
        <v>300</v>
      </c>
      <c r="J67" t="s">
        <v>48</v>
      </c>
      <c r="K67" t="s">
        <v>49</v>
      </c>
    </row>
    <row r="68" spans="1:11">
      <c r="A68" t="s">
        <v>99</v>
      </c>
      <c r="B68" s="2">
        <v>45829</v>
      </c>
      <c r="C68" t="s">
        <v>35</v>
      </c>
      <c r="D68" t="s">
        <v>36</v>
      </c>
      <c r="E68">
        <v>3</v>
      </c>
      <c r="F68" s="1">
        <v>150</v>
      </c>
      <c r="G68" s="1">
        <v>450</v>
      </c>
      <c r="H68" s="3">
        <v>150</v>
      </c>
      <c r="I68" s="3">
        <v>300</v>
      </c>
      <c r="J68" t="s">
        <v>14</v>
      </c>
      <c r="K68" t="s">
        <v>37</v>
      </c>
    </row>
    <row r="69" spans="1:11">
      <c r="A69" t="s">
        <v>100</v>
      </c>
      <c r="B69" s="2">
        <v>45832</v>
      </c>
      <c r="C69" t="s">
        <v>28</v>
      </c>
      <c r="D69" t="s">
        <v>13</v>
      </c>
      <c r="E69">
        <v>4</v>
      </c>
      <c r="F69" s="1">
        <v>300</v>
      </c>
      <c r="G69" s="1">
        <v>1200</v>
      </c>
      <c r="H69" s="3">
        <v>480</v>
      </c>
      <c r="I69" s="3">
        <v>720</v>
      </c>
      <c r="J69" t="s">
        <v>31</v>
      </c>
      <c r="K69" t="s">
        <v>19</v>
      </c>
    </row>
    <row r="70" spans="1:11">
      <c r="A70" t="s">
        <v>101</v>
      </c>
      <c r="B70" s="2">
        <v>45836</v>
      </c>
      <c r="C70" t="s">
        <v>28</v>
      </c>
      <c r="D70" t="s">
        <v>13</v>
      </c>
      <c r="E70">
        <v>4</v>
      </c>
      <c r="F70" s="1">
        <v>300</v>
      </c>
      <c r="G70" s="1">
        <v>1200</v>
      </c>
      <c r="H70" s="3">
        <v>480</v>
      </c>
      <c r="I70" s="3">
        <v>720</v>
      </c>
      <c r="J70" t="s">
        <v>31</v>
      </c>
      <c r="K70" t="s">
        <v>40</v>
      </c>
    </row>
    <row r="71" spans="1:11">
      <c r="A71" t="s">
        <v>102</v>
      </c>
      <c r="B71" s="2">
        <v>45841</v>
      </c>
      <c r="C71" t="s">
        <v>17</v>
      </c>
      <c r="D71" t="s">
        <v>18</v>
      </c>
      <c r="E71">
        <v>5</v>
      </c>
      <c r="F71" s="1">
        <v>450</v>
      </c>
      <c r="G71" s="1">
        <v>2250</v>
      </c>
      <c r="H71" s="3">
        <v>1250</v>
      </c>
      <c r="I71" s="3">
        <v>1000</v>
      </c>
      <c r="J71" t="s">
        <v>31</v>
      </c>
      <c r="K71" t="s">
        <v>49</v>
      </c>
    </row>
    <row r="72" spans="1:11">
      <c r="A72" t="s">
        <v>103</v>
      </c>
      <c r="B72" s="2">
        <v>45846</v>
      </c>
      <c r="C72" t="s">
        <v>12</v>
      </c>
      <c r="D72" t="s">
        <v>13</v>
      </c>
      <c r="E72">
        <v>4</v>
      </c>
      <c r="F72" s="1">
        <v>350</v>
      </c>
      <c r="G72" s="1">
        <v>1400</v>
      </c>
      <c r="H72" s="3">
        <v>600</v>
      </c>
      <c r="I72" s="3">
        <v>800</v>
      </c>
      <c r="J72" t="s">
        <v>29</v>
      </c>
      <c r="K72" t="s">
        <v>49</v>
      </c>
    </row>
    <row r="73" spans="1:11">
      <c r="A73" t="s">
        <v>104</v>
      </c>
      <c r="B73" s="2">
        <v>45852</v>
      </c>
      <c r="C73" t="s">
        <v>21</v>
      </c>
      <c r="D73" t="s">
        <v>22</v>
      </c>
      <c r="E73">
        <v>3</v>
      </c>
      <c r="F73" s="1">
        <v>4500</v>
      </c>
      <c r="G73" s="1">
        <v>13500</v>
      </c>
      <c r="H73" s="3">
        <v>11400</v>
      </c>
      <c r="I73" s="3">
        <v>2100</v>
      </c>
      <c r="J73" t="s">
        <v>29</v>
      </c>
      <c r="K73" t="s">
        <v>19</v>
      </c>
    </row>
    <row r="74" spans="1:11">
      <c r="A74" t="s">
        <v>105</v>
      </c>
      <c r="B74" s="2">
        <v>45855</v>
      </c>
      <c r="C74" t="s">
        <v>43</v>
      </c>
      <c r="D74" t="s">
        <v>22</v>
      </c>
      <c r="E74">
        <v>5</v>
      </c>
      <c r="F74" s="1">
        <v>2500</v>
      </c>
      <c r="G74" s="1">
        <v>12500</v>
      </c>
      <c r="H74" s="3">
        <v>10000</v>
      </c>
      <c r="I74" s="3">
        <v>2500</v>
      </c>
      <c r="J74" t="s">
        <v>23</v>
      </c>
      <c r="K74" t="s">
        <v>37</v>
      </c>
    </row>
    <row r="75" spans="1:11">
      <c r="A75" t="s">
        <v>106</v>
      </c>
      <c r="B75" s="2">
        <v>45855</v>
      </c>
      <c r="C75" t="s">
        <v>21</v>
      </c>
      <c r="D75" t="s">
        <v>22</v>
      </c>
      <c r="E75">
        <v>4</v>
      </c>
      <c r="F75" s="1">
        <v>4500</v>
      </c>
      <c r="G75" s="1">
        <v>18000</v>
      </c>
      <c r="H75" s="3">
        <v>15200</v>
      </c>
      <c r="I75" s="3">
        <v>2800</v>
      </c>
      <c r="J75" t="s">
        <v>23</v>
      </c>
      <c r="K75" t="s">
        <v>40</v>
      </c>
    </row>
    <row r="76" spans="1:11">
      <c r="A76" t="s">
        <v>107</v>
      </c>
      <c r="B76" s="2">
        <v>45858</v>
      </c>
      <c r="C76" t="s">
        <v>39</v>
      </c>
      <c r="D76" t="s">
        <v>18</v>
      </c>
      <c r="E76">
        <v>4</v>
      </c>
      <c r="F76" s="1">
        <v>800</v>
      </c>
      <c r="G76" s="1">
        <v>3200</v>
      </c>
      <c r="H76" s="3">
        <v>2000</v>
      </c>
      <c r="I76" s="3">
        <v>1200</v>
      </c>
      <c r="J76" t="s">
        <v>14</v>
      </c>
      <c r="K76" t="s">
        <v>49</v>
      </c>
    </row>
    <row r="77" spans="1:11">
      <c r="A77" t="s">
        <v>108</v>
      </c>
      <c r="B77" s="2">
        <v>45860</v>
      </c>
      <c r="C77" t="s">
        <v>39</v>
      </c>
      <c r="D77" t="s">
        <v>18</v>
      </c>
      <c r="E77">
        <v>4</v>
      </c>
      <c r="F77" s="1">
        <v>800</v>
      </c>
      <c r="G77" s="1">
        <v>3200</v>
      </c>
      <c r="H77" s="3">
        <v>2000</v>
      </c>
      <c r="I77" s="3">
        <v>1200</v>
      </c>
      <c r="J77" t="s">
        <v>29</v>
      </c>
      <c r="K77" t="s">
        <v>49</v>
      </c>
    </row>
    <row r="78" spans="1:11">
      <c r="A78" t="s">
        <v>109</v>
      </c>
      <c r="B78" s="2">
        <v>45862</v>
      </c>
      <c r="C78" t="s">
        <v>26</v>
      </c>
      <c r="D78" t="s">
        <v>13</v>
      </c>
      <c r="E78">
        <v>4</v>
      </c>
      <c r="F78" s="1">
        <v>250</v>
      </c>
      <c r="G78" s="1">
        <v>1000</v>
      </c>
      <c r="H78" s="3">
        <v>400</v>
      </c>
      <c r="I78" s="3">
        <v>600</v>
      </c>
      <c r="J78" t="s">
        <v>31</v>
      </c>
      <c r="K78" t="s">
        <v>37</v>
      </c>
    </row>
    <row r="79" spans="1:11">
      <c r="A79" t="s">
        <v>110</v>
      </c>
      <c r="B79" s="2">
        <v>45864</v>
      </c>
      <c r="C79" t="s">
        <v>28</v>
      </c>
      <c r="D79" t="s">
        <v>13</v>
      </c>
      <c r="E79">
        <v>5</v>
      </c>
      <c r="F79" s="1">
        <v>300</v>
      </c>
      <c r="G79" s="1">
        <v>1500</v>
      </c>
      <c r="H79" s="3">
        <v>600</v>
      </c>
      <c r="I79" s="3">
        <v>900</v>
      </c>
      <c r="J79" t="s">
        <v>14</v>
      </c>
      <c r="K79" t="s">
        <v>40</v>
      </c>
    </row>
    <row r="80" spans="1:11">
      <c r="A80" t="s">
        <v>111</v>
      </c>
      <c r="B80" s="2">
        <v>45865</v>
      </c>
      <c r="C80" t="s">
        <v>12</v>
      </c>
      <c r="D80" t="s">
        <v>13</v>
      </c>
      <c r="E80">
        <v>3</v>
      </c>
      <c r="F80" s="1">
        <v>350</v>
      </c>
      <c r="G80" s="1">
        <v>1050</v>
      </c>
      <c r="H80" s="3">
        <v>450</v>
      </c>
      <c r="I80" s="3">
        <v>600</v>
      </c>
      <c r="J80" t="s">
        <v>48</v>
      </c>
      <c r="K80" t="s">
        <v>40</v>
      </c>
    </row>
    <row r="81" spans="1:11">
      <c r="A81" t="s">
        <v>112</v>
      </c>
      <c r="B81" s="2">
        <v>45865</v>
      </c>
      <c r="C81" t="s">
        <v>35</v>
      </c>
      <c r="D81" t="s">
        <v>36</v>
      </c>
      <c r="E81">
        <v>4</v>
      </c>
      <c r="F81" s="1">
        <v>150</v>
      </c>
      <c r="G81" s="1">
        <v>600</v>
      </c>
      <c r="H81" s="3">
        <v>200</v>
      </c>
      <c r="I81" s="3">
        <v>400</v>
      </c>
      <c r="J81" t="s">
        <v>48</v>
      </c>
      <c r="K81" t="s">
        <v>40</v>
      </c>
    </row>
    <row r="82" spans="1:11">
      <c r="A82" t="s">
        <v>113</v>
      </c>
      <c r="B82" s="2">
        <v>45867</v>
      </c>
      <c r="C82" t="s">
        <v>17</v>
      </c>
      <c r="D82" t="s">
        <v>18</v>
      </c>
      <c r="E82">
        <v>2</v>
      </c>
      <c r="F82" s="1">
        <v>450</v>
      </c>
      <c r="G82" s="1">
        <v>900</v>
      </c>
      <c r="H82" s="3">
        <v>500</v>
      </c>
      <c r="I82" s="3">
        <v>400</v>
      </c>
      <c r="J82" t="s">
        <v>48</v>
      </c>
      <c r="K82" t="s">
        <v>15</v>
      </c>
    </row>
    <row r="83" spans="1:11">
      <c r="A83" t="s">
        <v>114</v>
      </c>
      <c r="B83" s="2">
        <v>45871</v>
      </c>
      <c r="C83" t="s">
        <v>28</v>
      </c>
      <c r="D83" t="s">
        <v>13</v>
      </c>
      <c r="E83">
        <v>4</v>
      </c>
      <c r="F83" s="1">
        <v>300</v>
      </c>
      <c r="G83" s="1">
        <v>1200</v>
      </c>
      <c r="H83" s="3">
        <v>480</v>
      </c>
      <c r="I83" s="3">
        <v>720</v>
      </c>
      <c r="J83" t="s">
        <v>48</v>
      </c>
      <c r="K83" t="s">
        <v>37</v>
      </c>
    </row>
    <row r="84" spans="1:11">
      <c r="A84" t="s">
        <v>115</v>
      </c>
      <c r="B84" s="2">
        <v>45872</v>
      </c>
      <c r="C84" t="s">
        <v>26</v>
      </c>
      <c r="D84" t="s">
        <v>13</v>
      </c>
      <c r="E84">
        <v>4</v>
      </c>
      <c r="F84" s="1">
        <v>250</v>
      </c>
      <c r="G84" s="1">
        <v>1000</v>
      </c>
      <c r="H84" s="3">
        <v>400</v>
      </c>
      <c r="I84" s="3">
        <v>600</v>
      </c>
      <c r="J84" t="s">
        <v>48</v>
      </c>
      <c r="K84" t="s">
        <v>15</v>
      </c>
    </row>
    <row r="85" spans="1:11">
      <c r="A85" t="s">
        <v>116</v>
      </c>
      <c r="B85" s="2">
        <v>45874</v>
      </c>
      <c r="C85" t="s">
        <v>21</v>
      </c>
      <c r="D85" t="s">
        <v>22</v>
      </c>
      <c r="E85">
        <v>5</v>
      </c>
      <c r="F85" s="1">
        <v>4500</v>
      </c>
      <c r="G85" s="1">
        <v>22500</v>
      </c>
      <c r="H85" s="3">
        <v>19000</v>
      </c>
      <c r="I85" s="3">
        <v>3500</v>
      </c>
      <c r="J85" t="s">
        <v>23</v>
      </c>
      <c r="K85" t="s">
        <v>15</v>
      </c>
    </row>
    <row r="86" spans="1:11">
      <c r="A86" t="s">
        <v>117</v>
      </c>
      <c r="B86" s="2">
        <v>45874</v>
      </c>
      <c r="C86" t="s">
        <v>28</v>
      </c>
      <c r="D86" t="s">
        <v>13</v>
      </c>
      <c r="E86">
        <v>4</v>
      </c>
      <c r="F86" s="1">
        <v>300</v>
      </c>
      <c r="G86" s="1">
        <v>1200</v>
      </c>
      <c r="H86" s="3">
        <v>480</v>
      </c>
      <c r="I86" s="3">
        <v>720</v>
      </c>
      <c r="J86" t="s">
        <v>48</v>
      </c>
      <c r="K86" t="s">
        <v>49</v>
      </c>
    </row>
    <row r="87" spans="1:11">
      <c r="A87" t="s">
        <v>118</v>
      </c>
      <c r="B87" s="2">
        <v>45875</v>
      </c>
      <c r="C87" t="s">
        <v>12</v>
      </c>
      <c r="D87" t="s">
        <v>13</v>
      </c>
      <c r="E87">
        <v>5</v>
      </c>
      <c r="F87" s="1">
        <v>350</v>
      </c>
      <c r="G87" s="1">
        <v>1750</v>
      </c>
      <c r="H87" s="3">
        <v>750</v>
      </c>
      <c r="I87" s="3">
        <v>1000</v>
      </c>
      <c r="J87" t="s">
        <v>14</v>
      </c>
      <c r="K87" t="s">
        <v>40</v>
      </c>
    </row>
    <row r="88" spans="1:11">
      <c r="A88" t="s">
        <v>119</v>
      </c>
      <c r="B88" s="2">
        <v>45875</v>
      </c>
      <c r="C88" t="s">
        <v>43</v>
      </c>
      <c r="D88" t="s">
        <v>22</v>
      </c>
      <c r="E88">
        <v>4</v>
      </c>
      <c r="F88" s="1">
        <v>2500</v>
      </c>
      <c r="G88" s="1">
        <v>10000</v>
      </c>
      <c r="H88" s="3">
        <v>8000</v>
      </c>
      <c r="I88" s="3">
        <v>2000</v>
      </c>
      <c r="J88" t="s">
        <v>14</v>
      </c>
      <c r="K88" t="s">
        <v>37</v>
      </c>
    </row>
    <row r="89" spans="1:11">
      <c r="A89" t="s">
        <v>120</v>
      </c>
      <c r="B89" s="2">
        <v>45877</v>
      </c>
      <c r="C89" t="s">
        <v>35</v>
      </c>
      <c r="D89" t="s">
        <v>36</v>
      </c>
      <c r="E89">
        <v>2</v>
      </c>
      <c r="F89" s="1">
        <v>150</v>
      </c>
      <c r="G89" s="1">
        <v>300</v>
      </c>
      <c r="H89" s="3">
        <v>100</v>
      </c>
      <c r="I89" s="3">
        <v>200</v>
      </c>
      <c r="J89" t="s">
        <v>31</v>
      </c>
      <c r="K89" t="s">
        <v>37</v>
      </c>
    </row>
    <row r="90" spans="1:11">
      <c r="A90" t="s">
        <v>121</v>
      </c>
      <c r="B90" s="2">
        <v>45881</v>
      </c>
      <c r="C90" t="s">
        <v>43</v>
      </c>
      <c r="D90" t="s">
        <v>22</v>
      </c>
      <c r="E90">
        <v>3</v>
      </c>
      <c r="F90" s="1">
        <v>2500</v>
      </c>
      <c r="G90" s="1">
        <v>7500</v>
      </c>
      <c r="H90" s="3">
        <v>6000</v>
      </c>
      <c r="I90" s="3">
        <v>1500</v>
      </c>
      <c r="J90" t="s">
        <v>23</v>
      </c>
      <c r="K90" t="s">
        <v>19</v>
      </c>
    </row>
    <row r="91" spans="1:11">
      <c r="A91" t="s">
        <v>122</v>
      </c>
      <c r="B91" s="2">
        <v>45882</v>
      </c>
      <c r="C91" t="s">
        <v>21</v>
      </c>
      <c r="D91" t="s">
        <v>22</v>
      </c>
      <c r="E91">
        <v>4</v>
      </c>
      <c r="F91" s="1">
        <v>4500</v>
      </c>
      <c r="G91" s="1">
        <v>18000</v>
      </c>
      <c r="H91" s="3">
        <v>15200</v>
      </c>
      <c r="I91" s="3">
        <v>2800</v>
      </c>
      <c r="J91" t="s">
        <v>48</v>
      </c>
      <c r="K91" t="s">
        <v>37</v>
      </c>
    </row>
    <row r="92" spans="1:11">
      <c r="A92" t="s">
        <v>123</v>
      </c>
      <c r="B92" s="2">
        <v>45884</v>
      </c>
      <c r="C92" t="s">
        <v>43</v>
      </c>
      <c r="D92" t="s">
        <v>22</v>
      </c>
      <c r="E92">
        <v>4</v>
      </c>
      <c r="F92" s="1">
        <v>2500</v>
      </c>
      <c r="G92" s="1">
        <v>10000</v>
      </c>
      <c r="H92" s="3">
        <v>8000</v>
      </c>
      <c r="I92" s="3">
        <v>2000</v>
      </c>
      <c r="J92" t="s">
        <v>14</v>
      </c>
      <c r="K92" t="s">
        <v>37</v>
      </c>
    </row>
    <row r="93" spans="1:11">
      <c r="A93" t="s">
        <v>124</v>
      </c>
      <c r="B93" s="2">
        <v>45885</v>
      </c>
      <c r="C93" t="s">
        <v>12</v>
      </c>
      <c r="D93" t="s">
        <v>13</v>
      </c>
      <c r="E93">
        <v>1</v>
      </c>
      <c r="F93" s="1">
        <v>350</v>
      </c>
      <c r="G93" s="1">
        <v>350</v>
      </c>
      <c r="H93" s="3">
        <v>150</v>
      </c>
      <c r="I93" s="3">
        <v>200</v>
      </c>
      <c r="J93" t="s">
        <v>14</v>
      </c>
      <c r="K93" t="s">
        <v>49</v>
      </c>
    </row>
    <row r="94" spans="1:11">
      <c r="A94" t="s">
        <v>125</v>
      </c>
      <c r="B94" s="2">
        <v>45888</v>
      </c>
      <c r="C94" t="s">
        <v>28</v>
      </c>
      <c r="D94" t="s">
        <v>13</v>
      </c>
      <c r="E94">
        <v>1</v>
      </c>
      <c r="F94" s="1">
        <v>300</v>
      </c>
      <c r="G94" s="1">
        <v>300</v>
      </c>
      <c r="H94" s="3">
        <v>120</v>
      </c>
      <c r="I94" s="3">
        <v>180</v>
      </c>
      <c r="J94" t="s">
        <v>14</v>
      </c>
      <c r="K94" t="s">
        <v>40</v>
      </c>
    </row>
    <row r="95" spans="1:11">
      <c r="A95" t="s">
        <v>126</v>
      </c>
      <c r="B95" s="2">
        <v>45888</v>
      </c>
      <c r="C95" t="s">
        <v>12</v>
      </c>
      <c r="D95" t="s">
        <v>13</v>
      </c>
      <c r="E95">
        <v>2</v>
      </c>
      <c r="F95" s="1">
        <v>350</v>
      </c>
      <c r="G95" s="1">
        <v>700</v>
      </c>
      <c r="H95" s="3">
        <v>300</v>
      </c>
      <c r="I95" s="3">
        <v>400</v>
      </c>
      <c r="J95" t="s">
        <v>48</v>
      </c>
      <c r="K95" t="s">
        <v>49</v>
      </c>
    </row>
    <row r="96" spans="1:11">
      <c r="A96" t="s">
        <v>127</v>
      </c>
      <c r="B96" s="2">
        <v>45891</v>
      </c>
      <c r="C96" t="s">
        <v>35</v>
      </c>
      <c r="D96" t="s">
        <v>36</v>
      </c>
      <c r="E96">
        <v>3</v>
      </c>
      <c r="F96" s="1">
        <v>150</v>
      </c>
      <c r="G96" s="1">
        <v>450</v>
      </c>
      <c r="H96" s="3">
        <v>150</v>
      </c>
      <c r="I96" s="3">
        <v>300</v>
      </c>
      <c r="J96" t="s">
        <v>31</v>
      </c>
      <c r="K96" t="s">
        <v>15</v>
      </c>
    </row>
    <row r="97" spans="1:11">
      <c r="A97" t="s">
        <v>128</v>
      </c>
      <c r="B97" s="2">
        <v>45893</v>
      </c>
      <c r="C97" t="s">
        <v>17</v>
      </c>
      <c r="D97" t="s">
        <v>18</v>
      </c>
      <c r="E97">
        <v>4</v>
      </c>
      <c r="F97" s="1">
        <v>450</v>
      </c>
      <c r="G97" s="1">
        <v>1800</v>
      </c>
      <c r="H97" s="3">
        <v>1000</v>
      </c>
      <c r="I97" s="3">
        <v>800</v>
      </c>
      <c r="J97" t="s">
        <v>48</v>
      </c>
      <c r="K97" t="s">
        <v>40</v>
      </c>
    </row>
    <row r="98" spans="1:11">
      <c r="A98" t="s">
        <v>129</v>
      </c>
      <c r="B98" s="2">
        <v>45896</v>
      </c>
      <c r="C98" t="s">
        <v>12</v>
      </c>
      <c r="D98" t="s">
        <v>13</v>
      </c>
      <c r="E98">
        <v>5</v>
      </c>
      <c r="F98" s="1">
        <v>350</v>
      </c>
      <c r="G98" s="1">
        <v>1750</v>
      </c>
      <c r="H98" s="3">
        <v>750</v>
      </c>
      <c r="I98" s="3">
        <v>1000</v>
      </c>
      <c r="J98" t="s">
        <v>29</v>
      </c>
      <c r="K98" t="s">
        <v>37</v>
      </c>
    </row>
    <row r="99" spans="1:11">
      <c r="A99" t="s">
        <v>130</v>
      </c>
      <c r="B99" s="2">
        <v>45896</v>
      </c>
      <c r="C99" t="s">
        <v>17</v>
      </c>
      <c r="D99" t="s">
        <v>18</v>
      </c>
      <c r="E99">
        <v>5</v>
      </c>
      <c r="F99" s="1">
        <v>450</v>
      </c>
      <c r="G99" s="1">
        <v>2250</v>
      </c>
      <c r="H99" s="3">
        <v>1250</v>
      </c>
      <c r="I99" s="3">
        <v>1000</v>
      </c>
      <c r="J99" t="s">
        <v>14</v>
      </c>
      <c r="K99" t="s">
        <v>19</v>
      </c>
    </row>
    <row r="100" spans="1:11">
      <c r="A100" t="s">
        <v>131</v>
      </c>
      <c r="B100" s="2">
        <v>45897</v>
      </c>
      <c r="C100" t="s">
        <v>28</v>
      </c>
      <c r="D100" t="s">
        <v>13</v>
      </c>
      <c r="E100">
        <v>2</v>
      </c>
      <c r="F100" s="1">
        <v>300</v>
      </c>
      <c r="G100" s="1">
        <v>600</v>
      </c>
      <c r="H100" s="3">
        <v>240</v>
      </c>
      <c r="I100" s="3">
        <v>360</v>
      </c>
      <c r="J100" t="s">
        <v>29</v>
      </c>
      <c r="K100" t="s">
        <v>19</v>
      </c>
    </row>
    <row r="101" spans="1:11">
      <c r="A101" t="s">
        <v>132</v>
      </c>
      <c r="B101" s="2">
        <v>45898</v>
      </c>
      <c r="C101" t="s">
        <v>28</v>
      </c>
      <c r="D101" t="s">
        <v>13</v>
      </c>
      <c r="E101">
        <v>1</v>
      </c>
      <c r="F101" s="1">
        <v>300</v>
      </c>
      <c r="G101" s="1">
        <v>300</v>
      </c>
      <c r="H101" s="3">
        <v>120</v>
      </c>
      <c r="I101" s="3">
        <v>180</v>
      </c>
      <c r="J101" t="s">
        <v>29</v>
      </c>
      <c r="K101" t="s">
        <v>15</v>
      </c>
    </row>
    <row r="102" spans="1:11">
      <c r="A102" t="s">
        <v>133</v>
      </c>
      <c r="B102" s="2">
        <v>45901</v>
      </c>
      <c r="C102" t="s">
        <v>26</v>
      </c>
      <c r="D102" t="s">
        <v>13</v>
      </c>
      <c r="E102">
        <v>2</v>
      </c>
      <c r="F102" s="1">
        <v>250</v>
      </c>
      <c r="G102" s="1">
        <v>500</v>
      </c>
      <c r="H102" s="3">
        <v>200</v>
      </c>
      <c r="I102" s="3">
        <v>300</v>
      </c>
      <c r="J102" t="s">
        <v>14</v>
      </c>
      <c r="K102" t="s">
        <v>49</v>
      </c>
    </row>
    <row r="103" spans="1:11">
      <c r="A103" t="s">
        <v>134</v>
      </c>
      <c r="B103" s="2">
        <v>45907</v>
      </c>
      <c r="C103" t="s">
        <v>28</v>
      </c>
      <c r="D103" t="s">
        <v>13</v>
      </c>
      <c r="E103">
        <v>4</v>
      </c>
      <c r="F103" s="1">
        <v>300</v>
      </c>
      <c r="G103" s="1">
        <v>1200</v>
      </c>
      <c r="H103" s="3">
        <v>480</v>
      </c>
      <c r="I103" s="3">
        <v>720</v>
      </c>
      <c r="J103" t="s">
        <v>14</v>
      </c>
      <c r="K103" t="s">
        <v>49</v>
      </c>
    </row>
    <row r="104" spans="1:11">
      <c r="A104" t="s">
        <v>135</v>
      </c>
      <c r="B104" s="2">
        <v>45911</v>
      </c>
      <c r="C104" t="s">
        <v>35</v>
      </c>
      <c r="D104" t="s">
        <v>36</v>
      </c>
      <c r="E104">
        <v>1</v>
      </c>
      <c r="F104" s="1">
        <v>150</v>
      </c>
      <c r="G104" s="1">
        <v>150</v>
      </c>
      <c r="H104" s="3">
        <v>50</v>
      </c>
      <c r="I104" s="3">
        <v>100</v>
      </c>
      <c r="J104" t="s">
        <v>31</v>
      </c>
      <c r="K104" t="s">
        <v>49</v>
      </c>
    </row>
    <row r="105" spans="1:11">
      <c r="A105" t="s">
        <v>136</v>
      </c>
      <c r="B105" s="2">
        <v>45917</v>
      </c>
      <c r="C105" t="s">
        <v>39</v>
      </c>
      <c r="D105" t="s">
        <v>18</v>
      </c>
      <c r="E105">
        <v>1</v>
      </c>
      <c r="F105" s="1">
        <v>800</v>
      </c>
      <c r="G105" s="1">
        <v>800</v>
      </c>
      <c r="H105" s="3">
        <v>500</v>
      </c>
      <c r="I105" s="3">
        <v>300</v>
      </c>
      <c r="J105" t="s">
        <v>14</v>
      </c>
      <c r="K105" t="s">
        <v>15</v>
      </c>
    </row>
    <row r="106" spans="1:11">
      <c r="A106" t="s">
        <v>137</v>
      </c>
      <c r="B106" s="2">
        <v>45917</v>
      </c>
      <c r="C106" t="s">
        <v>43</v>
      </c>
      <c r="D106" t="s">
        <v>22</v>
      </c>
      <c r="E106">
        <v>5</v>
      </c>
      <c r="F106" s="1">
        <v>2500</v>
      </c>
      <c r="G106" s="1">
        <v>12500</v>
      </c>
      <c r="H106" s="3">
        <v>10000</v>
      </c>
      <c r="I106" s="3">
        <v>2500</v>
      </c>
      <c r="J106" t="s">
        <v>14</v>
      </c>
      <c r="K106" t="s">
        <v>37</v>
      </c>
    </row>
    <row r="107" spans="1:11">
      <c r="A107" t="s">
        <v>138</v>
      </c>
      <c r="B107" s="2">
        <v>45917</v>
      </c>
      <c r="C107" t="s">
        <v>43</v>
      </c>
      <c r="D107" t="s">
        <v>22</v>
      </c>
      <c r="E107">
        <v>2</v>
      </c>
      <c r="F107" s="1">
        <v>2500</v>
      </c>
      <c r="G107" s="1">
        <v>5000</v>
      </c>
      <c r="H107" s="3">
        <v>4000</v>
      </c>
      <c r="I107" s="3">
        <v>1000</v>
      </c>
      <c r="J107" t="s">
        <v>29</v>
      </c>
      <c r="K107" t="s">
        <v>15</v>
      </c>
    </row>
    <row r="108" spans="1:11">
      <c r="A108" t="s">
        <v>139</v>
      </c>
      <c r="B108" s="2">
        <v>45920</v>
      </c>
      <c r="C108" t="s">
        <v>39</v>
      </c>
      <c r="D108" t="s">
        <v>18</v>
      </c>
      <c r="E108">
        <v>3</v>
      </c>
      <c r="F108" s="1">
        <v>800</v>
      </c>
      <c r="G108" s="1">
        <v>2400</v>
      </c>
      <c r="H108" s="3">
        <v>1500</v>
      </c>
      <c r="I108" s="3">
        <v>900</v>
      </c>
      <c r="J108" t="s">
        <v>14</v>
      </c>
      <c r="K108" t="s">
        <v>15</v>
      </c>
    </row>
    <row r="109" spans="1:11">
      <c r="A109" t="s">
        <v>140</v>
      </c>
      <c r="B109" s="2">
        <v>45927</v>
      </c>
      <c r="C109" t="s">
        <v>43</v>
      </c>
      <c r="D109" t="s">
        <v>22</v>
      </c>
      <c r="E109">
        <v>3</v>
      </c>
      <c r="F109" s="1">
        <v>2500</v>
      </c>
      <c r="G109" s="1">
        <v>7500</v>
      </c>
      <c r="H109" s="3">
        <v>6000</v>
      </c>
      <c r="I109" s="3">
        <v>1500</v>
      </c>
      <c r="J109" t="s">
        <v>29</v>
      </c>
      <c r="K109" t="s">
        <v>15</v>
      </c>
    </row>
    <row r="110" spans="1:11">
      <c r="A110" t="s">
        <v>141</v>
      </c>
      <c r="B110" s="2">
        <v>45930</v>
      </c>
      <c r="C110" t="s">
        <v>17</v>
      </c>
      <c r="D110" t="s">
        <v>18</v>
      </c>
      <c r="E110">
        <v>2</v>
      </c>
      <c r="F110" s="1">
        <v>450</v>
      </c>
      <c r="G110" s="1">
        <v>900</v>
      </c>
      <c r="H110" s="3">
        <v>500</v>
      </c>
      <c r="I110" s="3">
        <v>400</v>
      </c>
      <c r="J110" t="s">
        <v>23</v>
      </c>
      <c r="K110" t="s">
        <v>49</v>
      </c>
    </row>
    <row r="111" spans="1:11">
      <c r="A111" t="s">
        <v>142</v>
      </c>
      <c r="B111" s="2">
        <v>45933</v>
      </c>
      <c r="C111" t="s">
        <v>35</v>
      </c>
      <c r="D111" t="s">
        <v>36</v>
      </c>
      <c r="E111">
        <v>1</v>
      </c>
      <c r="F111" s="1">
        <v>150</v>
      </c>
      <c r="G111" s="1">
        <v>150</v>
      </c>
      <c r="H111" s="3">
        <v>50</v>
      </c>
      <c r="I111" s="3">
        <v>100</v>
      </c>
      <c r="J111" t="s">
        <v>29</v>
      </c>
      <c r="K111" t="s">
        <v>40</v>
      </c>
    </row>
    <row r="112" spans="1:11">
      <c r="A112" t="s">
        <v>143</v>
      </c>
      <c r="B112" s="2">
        <v>45933</v>
      </c>
      <c r="C112" t="s">
        <v>26</v>
      </c>
      <c r="D112" t="s">
        <v>13</v>
      </c>
      <c r="E112">
        <v>4</v>
      </c>
      <c r="F112" s="1">
        <v>250</v>
      </c>
      <c r="G112" s="1">
        <v>1000</v>
      </c>
      <c r="H112" s="3">
        <v>400</v>
      </c>
      <c r="I112" s="3">
        <v>600</v>
      </c>
      <c r="J112" t="s">
        <v>14</v>
      </c>
      <c r="K112" t="s">
        <v>40</v>
      </c>
    </row>
    <row r="113" spans="1:11">
      <c r="A113" t="s">
        <v>144</v>
      </c>
      <c r="B113" s="2">
        <v>45939</v>
      </c>
      <c r="C113" t="s">
        <v>21</v>
      </c>
      <c r="D113" t="s">
        <v>22</v>
      </c>
      <c r="E113">
        <v>3</v>
      </c>
      <c r="F113" s="1">
        <v>4500</v>
      </c>
      <c r="G113" s="1">
        <v>13500</v>
      </c>
      <c r="H113" s="3">
        <v>11400</v>
      </c>
      <c r="I113" s="3">
        <v>2100</v>
      </c>
      <c r="J113" t="s">
        <v>31</v>
      </c>
      <c r="K113" t="s">
        <v>15</v>
      </c>
    </row>
    <row r="114" spans="1:11">
      <c r="A114" t="s">
        <v>145</v>
      </c>
      <c r="B114" s="2">
        <v>45941</v>
      </c>
      <c r="C114" t="s">
        <v>17</v>
      </c>
      <c r="D114" t="s">
        <v>18</v>
      </c>
      <c r="E114">
        <v>2</v>
      </c>
      <c r="F114" s="1">
        <v>450</v>
      </c>
      <c r="G114" s="1">
        <v>900</v>
      </c>
      <c r="H114" s="3">
        <v>500</v>
      </c>
      <c r="I114" s="3">
        <v>400</v>
      </c>
      <c r="J114" t="s">
        <v>23</v>
      </c>
      <c r="K114" t="s">
        <v>19</v>
      </c>
    </row>
    <row r="115" spans="1:11">
      <c r="A115" t="s">
        <v>146</v>
      </c>
      <c r="B115" s="2">
        <v>45941</v>
      </c>
      <c r="C115" t="s">
        <v>17</v>
      </c>
      <c r="D115" t="s">
        <v>18</v>
      </c>
      <c r="E115">
        <v>3</v>
      </c>
      <c r="F115" s="1">
        <v>450</v>
      </c>
      <c r="G115" s="1">
        <v>1350</v>
      </c>
      <c r="H115" s="3">
        <v>750</v>
      </c>
      <c r="I115" s="3">
        <v>600</v>
      </c>
      <c r="J115" t="s">
        <v>14</v>
      </c>
      <c r="K115" t="s">
        <v>19</v>
      </c>
    </row>
    <row r="116" spans="1:11">
      <c r="A116" t="s">
        <v>147</v>
      </c>
      <c r="B116" s="2">
        <v>45942</v>
      </c>
      <c r="C116" t="s">
        <v>35</v>
      </c>
      <c r="D116" t="s">
        <v>36</v>
      </c>
      <c r="E116">
        <v>5</v>
      </c>
      <c r="F116" s="1">
        <v>150</v>
      </c>
      <c r="G116" s="1">
        <v>750</v>
      </c>
      <c r="H116" s="3">
        <v>250</v>
      </c>
      <c r="I116" s="3">
        <v>500</v>
      </c>
      <c r="J116" t="s">
        <v>31</v>
      </c>
      <c r="K116" t="s">
        <v>40</v>
      </c>
    </row>
    <row r="117" spans="1:11">
      <c r="A117" t="s">
        <v>148</v>
      </c>
      <c r="B117" s="2">
        <v>45942</v>
      </c>
      <c r="C117" t="s">
        <v>28</v>
      </c>
      <c r="D117" t="s">
        <v>13</v>
      </c>
      <c r="E117">
        <v>4</v>
      </c>
      <c r="F117" s="1">
        <v>300</v>
      </c>
      <c r="G117" s="1">
        <v>1200</v>
      </c>
      <c r="H117" s="3">
        <v>480</v>
      </c>
      <c r="I117" s="3">
        <v>720</v>
      </c>
      <c r="J117" t="s">
        <v>14</v>
      </c>
      <c r="K117" t="s">
        <v>49</v>
      </c>
    </row>
    <row r="118" spans="1:11">
      <c r="A118" t="s">
        <v>149</v>
      </c>
      <c r="B118" s="2">
        <v>45944</v>
      </c>
      <c r="C118" t="s">
        <v>39</v>
      </c>
      <c r="D118" t="s">
        <v>18</v>
      </c>
      <c r="E118">
        <v>1</v>
      </c>
      <c r="F118" s="1">
        <v>800</v>
      </c>
      <c r="G118" s="1">
        <v>800</v>
      </c>
      <c r="H118" s="3">
        <v>500</v>
      </c>
      <c r="I118" s="3">
        <v>300</v>
      </c>
      <c r="J118" t="s">
        <v>14</v>
      </c>
      <c r="K118" t="s">
        <v>15</v>
      </c>
    </row>
    <row r="119" spans="1:11">
      <c r="A119" t="s">
        <v>150</v>
      </c>
      <c r="B119" s="2">
        <v>45946</v>
      </c>
      <c r="C119" t="s">
        <v>35</v>
      </c>
      <c r="D119" t="s">
        <v>36</v>
      </c>
      <c r="E119">
        <v>5</v>
      </c>
      <c r="F119" s="1">
        <v>150</v>
      </c>
      <c r="G119" s="1">
        <v>750</v>
      </c>
      <c r="H119" s="3">
        <v>250</v>
      </c>
      <c r="I119" s="3">
        <v>500</v>
      </c>
      <c r="J119" t="s">
        <v>14</v>
      </c>
      <c r="K119" t="s">
        <v>19</v>
      </c>
    </row>
    <row r="120" spans="1:11">
      <c r="A120" t="s">
        <v>151</v>
      </c>
      <c r="B120" s="2">
        <v>45947</v>
      </c>
      <c r="C120" t="s">
        <v>17</v>
      </c>
      <c r="D120" t="s">
        <v>18</v>
      </c>
      <c r="E120">
        <v>2</v>
      </c>
      <c r="F120" s="1">
        <v>450</v>
      </c>
      <c r="G120" s="1">
        <v>900</v>
      </c>
      <c r="H120" s="3">
        <v>500</v>
      </c>
      <c r="I120" s="3">
        <v>400</v>
      </c>
      <c r="J120" t="s">
        <v>48</v>
      </c>
      <c r="K120" t="s">
        <v>19</v>
      </c>
    </row>
    <row r="121" spans="1:11">
      <c r="A121" t="s">
        <v>152</v>
      </c>
      <c r="B121" s="2">
        <v>45963</v>
      </c>
      <c r="C121" t="s">
        <v>39</v>
      </c>
      <c r="D121" t="s">
        <v>18</v>
      </c>
      <c r="E121">
        <v>5</v>
      </c>
      <c r="F121" s="1">
        <v>800</v>
      </c>
      <c r="G121" s="1">
        <v>4000</v>
      </c>
      <c r="H121" s="3">
        <v>2500</v>
      </c>
      <c r="I121" s="3">
        <v>1500</v>
      </c>
      <c r="J121" t="s">
        <v>31</v>
      </c>
      <c r="K121" t="s">
        <v>15</v>
      </c>
    </row>
    <row r="122" spans="1:11">
      <c r="A122" t="s">
        <v>153</v>
      </c>
      <c r="B122" s="2">
        <v>45963</v>
      </c>
      <c r="C122" t="s">
        <v>39</v>
      </c>
      <c r="D122" t="s">
        <v>18</v>
      </c>
      <c r="E122">
        <v>3</v>
      </c>
      <c r="F122" s="1">
        <v>800</v>
      </c>
      <c r="G122" s="1">
        <v>2400</v>
      </c>
      <c r="H122" s="3">
        <v>1500</v>
      </c>
      <c r="I122" s="3">
        <v>900</v>
      </c>
      <c r="J122" t="s">
        <v>14</v>
      </c>
      <c r="K122" t="s">
        <v>37</v>
      </c>
    </row>
    <row r="123" spans="1:11">
      <c r="A123" t="s">
        <v>154</v>
      </c>
      <c r="B123" s="2">
        <v>45966</v>
      </c>
      <c r="C123" t="s">
        <v>39</v>
      </c>
      <c r="D123" t="s">
        <v>18</v>
      </c>
      <c r="E123">
        <v>2</v>
      </c>
      <c r="F123" s="1">
        <v>800</v>
      </c>
      <c r="G123" s="1">
        <v>1600</v>
      </c>
      <c r="H123" s="3">
        <v>1000</v>
      </c>
      <c r="I123" s="3">
        <v>600</v>
      </c>
      <c r="J123" t="s">
        <v>23</v>
      </c>
      <c r="K123" t="s">
        <v>37</v>
      </c>
    </row>
    <row r="124" spans="1:11">
      <c r="A124" t="s">
        <v>155</v>
      </c>
      <c r="B124" s="2">
        <v>45967</v>
      </c>
      <c r="C124" t="s">
        <v>17</v>
      </c>
      <c r="D124" t="s">
        <v>18</v>
      </c>
      <c r="E124">
        <v>1</v>
      </c>
      <c r="F124" s="1">
        <v>450</v>
      </c>
      <c r="G124" s="1">
        <v>450</v>
      </c>
      <c r="H124" s="3">
        <v>250</v>
      </c>
      <c r="I124" s="3">
        <v>200</v>
      </c>
      <c r="J124" t="s">
        <v>23</v>
      </c>
      <c r="K124" t="s">
        <v>49</v>
      </c>
    </row>
    <row r="125" spans="1:11">
      <c r="A125" t="s">
        <v>156</v>
      </c>
      <c r="B125" s="2">
        <v>45967</v>
      </c>
      <c r="C125" t="s">
        <v>21</v>
      </c>
      <c r="D125" t="s">
        <v>22</v>
      </c>
      <c r="E125">
        <v>3</v>
      </c>
      <c r="F125" s="1">
        <v>4500</v>
      </c>
      <c r="G125" s="1">
        <v>13500</v>
      </c>
      <c r="H125" s="3">
        <v>11400</v>
      </c>
      <c r="I125" s="3">
        <v>2100</v>
      </c>
      <c r="J125" t="s">
        <v>29</v>
      </c>
      <c r="K125" t="s">
        <v>15</v>
      </c>
    </row>
    <row r="126" spans="1:11">
      <c r="A126" t="s">
        <v>157</v>
      </c>
      <c r="B126" s="2">
        <v>45969</v>
      </c>
      <c r="C126" t="s">
        <v>43</v>
      </c>
      <c r="D126" t="s">
        <v>22</v>
      </c>
      <c r="E126">
        <v>4</v>
      </c>
      <c r="F126" s="1">
        <v>2500</v>
      </c>
      <c r="G126" s="1">
        <v>10000</v>
      </c>
      <c r="H126" s="3">
        <v>8000</v>
      </c>
      <c r="I126" s="3">
        <v>2000</v>
      </c>
      <c r="J126" t="s">
        <v>29</v>
      </c>
      <c r="K126" t="s">
        <v>49</v>
      </c>
    </row>
    <row r="127" spans="1:11">
      <c r="A127" t="s">
        <v>158</v>
      </c>
      <c r="B127" s="2">
        <v>45969</v>
      </c>
      <c r="C127" t="s">
        <v>43</v>
      </c>
      <c r="D127" t="s">
        <v>22</v>
      </c>
      <c r="E127">
        <v>3</v>
      </c>
      <c r="F127" s="1">
        <v>2500</v>
      </c>
      <c r="G127" s="1">
        <v>7500</v>
      </c>
      <c r="H127" s="3">
        <v>6000</v>
      </c>
      <c r="I127" s="3">
        <v>1500</v>
      </c>
      <c r="J127" t="s">
        <v>14</v>
      </c>
      <c r="K127" t="s">
        <v>15</v>
      </c>
    </row>
    <row r="128" spans="1:11">
      <c r="A128" t="s">
        <v>159</v>
      </c>
      <c r="B128" s="2">
        <v>45971</v>
      </c>
      <c r="C128" t="s">
        <v>12</v>
      </c>
      <c r="D128" t="s">
        <v>13</v>
      </c>
      <c r="E128">
        <v>3</v>
      </c>
      <c r="F128" s="1">
        <v>350</v>
      </c>
      <c r="G128" s="1">
        <v>1050</v>
      </c>
      <c r="H128" s="3">
        <v>450</v>
      </c>
      <c r="I128" s="3">
        <v>600</v>
      </c>
      <c r="J128" t="s">
        <v>48</v>
      </c>
      <c r="K128" t="s">
        <v>49</v>
      </c>
    </row>
    <row r="129" spans="1:11">
      <c r="A129" t="s">
        <v>160</v>
      </c>
      <c r="B129" s="2">
        <v>45978</v>
      </c>
      <c r="C129" t="s">
        <v>35</v>
      </c>
      <c r="D129" t="s">
        <v>36</v>
      </c>
      <c r="E129">
        <v>2</v>
      </c>
      <c r="F129" s="1">
        <v>150</v>
      </c>
      <c r="G129" s="1">
        <v>300</v>
      </c>
      <c r="H129" s="3">
        <v>100</v>
      </c>
      <c r="I129" s="3">
        <v>200</v>
      </c>
      <c r="J129" t="s">
        <v>48</v>
      </c>
      <c r="K129" t="s">
        <v>19</v>
      </c>
    </row>
    <row r="130" spans="1:11">
      <c r="A130" t="s">
        <v>161</v>
      </c>
      <c r="B130" s="2">
        <v>45981</v>
      </c>
      <c r="C130" t="s">
        <v>17</v>
      </c>
      <c r="D130" t="s">
        <v>18</v>
      </c>
      <c r="E130">
        <v>3</v>
      </c>
      <c r="F130" s="1">
        <v>450</v>
      </c>
      <c r="G130" s="1">
        <v>1350</v>
      </c>
      <c r="H130" s="3">
        <v>750</v>
      </c>
      <c r="I130" s="3">
        <v>600</v>
      </c>
      <c r="J130" t="s">
        <v>23</v>
      </c>
      <c r="K130" t="s">
        <v>49</v>
      </c>
    </row>
    <row r="131" spans="1:11">
      <c r="A131" t="s">
        <v>162</v>
      </c>
      <c r="B131" s="2">
        <v>45982</v>
      </c>
      <c r="C131" t="s">
        <v>21</v>
      </c>
      <c r="D131" t="s">
        <v>22</v>
      </c>
      <c r="E131">
        <v>5</v>
      </c>
      <c r="F131" s="1">
        <v>4500</v>
      </c>
      <c r="G131" s="1">
        <v>22500</v>
      </c>
      <c r="H131" s="3">
        <v>19000</v>
      </c>
      <c r="I131" s="3">
        <v>3500</v>
      </c>
      <c r="J131" t="s">
        <v>14</v>
      </c>
      <c r="K131" t="s">
        <v>15</v>
      </c>
    </row>
    <row r="132" spans="1:11">
      <c r="A132" t="s">
        <v>163</v>
      </c>
      <c r="B132" s="2">
        <v>45982</v>
      </c>
      <c r="C132" t="s">
        <v>28</v>
      </c>
      <c r="D132" t="s">
        <v>13</v>
      </c>
      <c r="E132">
        <v>1</v>
      </c>
      <c r="F132" s="1">
        <v>300</v>
      </c>
      <c r="G132" s="1">
        <v>300</v>
      </c>
      <c r="H132" s="3">
        <v>120</v>
      </c>
      <c r="I132" s="3">
        <v>180</v>
      </c>
      <c r="J132" t="s">
        <v>14</v>
      </c>
      <c r="K132" t="s">
        <v>49</v>
      </c>
    </row>
    <row r="133" spans="1:11">
      <c r="A133" t="s">
        <v>164</v>
      </c>
      <c r="B133" s="2">
        <v>45983</v>
      </c>
      <c r="C133" t="s">
        <v>39</v>
      </c>
      <c r="D133" t="s">
        <v>18</v>
      </c>
      <c r="E133">
        <v>5</v>
      </c>
      <c r="F133" s="1">
        <v>800</v>
      </c>
      <c r="G133" s="1">
        <v>4000</v>
      </c>
      <c r="H133" s="3">
        <v>2500</v>
      </c>
      <c r="I133" s="3">
        <v>1500</v>
      </c>
      <c r="J133" t="s">
        <v>48</v>
      </c>
      <c r="K133" t="s">
        <v>37</v>
      </c>
    </row>
    <row r="134" spans="1:11">
      <c r="A134" t="s">
        <v>165</v>
      </c>
      <c r="B134" s="2">
        <v>45983</v>
      </c>
      <c r="C134" t="s">
        <v>35</v>
      </c>
      <c r="D134" t="s">
        <v>36</v>
      </c>
      <c r="E134">
        <v>5</v>
      </c>
      <c r="F134" s="1">
        <v>150</v>
      </c>
      <c r="G134" s="1">
        <v>750</v>
      </c>
      <c r="H134" s="3">
        <v>250</v>
      </c>
      <c r="I134" s="3">
        <v>500</v>
      </c>
      <c r="J134" t="s">
        <v>48</v>
      </c>
      <c r="K134" t="s">
        <v>19</v>
      </c>
    </row>
    <row r="135" spans="1:11">
      <c r="A135" t="s">
        <v>166</v>
      </c>
      <c r="B135" s="2">
        <v>45986</v>
      </c>
      <c r="C135" t="s">
        <v>28</v>
      </c>
      <c r="D135" t="s">
        <v>13</v>
      </c>
      <c r="E135">
        <v>3</v>
      </c>
      <c r="F135" s="1">
        <v>300</v>
      </c>
      <c r="G135" s="1">
        <v>900</v>
      </c>
      <c r="H135" s="3">
        <v>360</v>
      </c>
      <c r="I135" s="3">
        <v>540</v>
      </c>
      <c r="J135" t="s">
        <v>48</v>
      </c>
      <c r="K135" t="s">
        <v>40</v>
      </c>
    </row>
    <row r="136" spans="1:11">
      <c r="A136" t="s">
        <v>167</v>
      </c>
      <c r="B136" s="2">
        <v>45990</v>
      </c>
      <c r="C136" t="s">
        <v>26</v>
      </c>
      <c r="D136" t="s">
        <v>13</v>
      </c>
      <c r="E136">
        <v>5</v>
      </c>
      <c r="F136" s="1">
        <v>250</v>
      </c>
      <c r="G136" s="1">
        <v>1250</v>
      </c>
      <c r="H136" s="3">
        <v>500</v>
      </c>
      <c r="I136" s="3">
        <v>750</v>
      </c>
      <c r="J136" t="s">
        <v>14</v>
      </c>
      <c r="K136" t="s">
        <v>37</v>
      </c>
    </row>
    <row r="137" spans="1:11">
      <c r="A137" t="s">
        <v>168</v>
      </c>
      <c r="B137" s="2">
        <v>45990</v>
      </c>
      <c r="C137" t="s">
        <v>43</v>
      </c>
      <c r="D137" t="s">
        <v>22</v>
      </c>
      <c r="E137">
        <v>2</v>
      </c>
      <c r="F137" s="1">
        <v>2500</v>
      </c>
      <c r="G137" s="1">
        <v>5000</v>
      </c>
      <c r="H137" s="3">
        <v>4000</v>
      </c>
      <c r="I137" s="3">
        <v>1000</v>
      </c>
      <c r="J137" t="s">
        <v>29</v>
      </c>
      <c r="K137" t="s">
        <v>37</v>
      </c>
    </row>
    <row r="138" spans="1:11">
      <c r="A138" t="s">
        <v>169</v>
      </c>
      <c r="B138" s="2">
        <v>45993</v>
      </c>
      <c r="C138" t="s">
        <v>28</v>
      </c>
      <c r="D138" t="s">
        <v>13</v>
      </c>
      <c r="E138">
        <v>1</v>
      </c>
      <c r="F138" s="1">
        <v>300</v>
      </c>
      <c r="G138" s="1">
        <v>300</v>
      </c>
      <c r="H138" s="3">
        <v>120</v>
      </c>
      <c r="I138" s="3">
        <v>180</v>
      </c>
      <c r="J138" t="s">
        <v>23</v>
      </c>
      <c r="K138" t="s">
        <v>15</v>
      </c>
    </row>
    <row r="139" spans="1:11">
      <c r="A139" t="s">
        <v>170</v>
      </c>
      <c r="B139" s="2">
        <v>45996</v>
      </c>
      <c r="C139" t="s">
        <v>26</v>
      </c>
      <c r="D139" t="s">
        <v>13</v>
      </c>
      <c r="E139">
        <v>3</v>
      </c>
      <c r="F139" s="1">
        <v>250</v>
      </c>
      <c r="G139" s="1">
        <v>750</v>
      </c>
      <c r="H139" s="3">
        <v>300</v>
      </c>
      <c r="I139" s="3">
        <v>450</v>
      </c>
      <c r="J139" t="s">
        <v>31</v>
      </c>
      <c r="K139" t="s">
        <v>19</v>
      </c>
    </row>
    <row r="140" spans="1:11">
      <c r="A140" t="s">
        <v>171</v>
      </c>
      <c r="B140" s="2">
        <v>46002</v>
      </c>
      <c r="C140" t="s">
        <v>35</v>
      </c>
      <c r="D140" t="s">
        <v>36</v>
      </c>
      <c r="E140">
        <v>4</v>
      </c>
      <c r="F140" s="1">
        <v>150</v>
      </c>
      <c r="G140" s="1">
        <v>600</v>
      </c>
      <c r="H140" s="3">
        <v>200</v>
      </c>
      <c r="I140" s="3">
        <v>400</v>
      </c>
      <c r="J140" t="s">
        <v>48</v>
      </c>
      <c r="K140" t="s">
        <v>15</v>
      </c>
    </row>
    <row r="141" spans="1:11">
      <c r="A141" t="s">
        <v>172</v>
      </c>
      <c r="B141" s="2">
        <v>46002</v>
      </c>
      <c r="C141" t="s">
        <v>21</v>
      </c>
      <c r="D141" t="s">
        <v>22</v>
      </c>
      <c r="E141">
        <v>1</v>
      </c>
      <c r="F141" s="1">
        <v>4500</v>
      </c>
      <c r="G141" s="1">
        <v>4500</v>
      </c>
      <c r="H141" s="3">
        <v>3800</v>
      </c>
      <c r="I141" s="3">
        <v>700</v>
      </c>
      <c r="J141" t="s">
        <v>29</v>
      </c>
      <c r="K141" t="s">
        <v>40</v>
      </c>
    </row>
    <row r="142" spans="1:11">
      <c r="A142" t="s">
        <v>173</v>
      </c>
      <c r="B142" s="2">
        <v>46004</v>
      </c>
      <c r="C142" t="s">
        <v>28</v>
      </c>
      <c r="D142" t="s">
        <v>13</v>
      </c>
      <c r="E142">
        <v>3</v>
      </c>
      <c r="F142" s="1">
        <v>300</v>
      </c>
      <c r="G142" s="1">
        <v>900</v>
      </c>
      <c r="H142" s="3">
        <v>360</v>
      </c>
      <c r="I142" s="3">
        <v>540</v>
      </c>
      <c r="J142" t="s">
        <v>48</v>
      </c>
      <c r="K142" t="s">
        <v>49</v>
      </c>
    </row>
    <row r="143" spans="1:11">
      <c r="A143" t="s">
        <v>174</v>
      </c>
      <c r="B143" s="2">
        <v>46007</v>
      </c>
      <c r="C143" t="s">
        <v>35</v>
      </c>
      <c r="D143" t="s">
        <v>36</v>
      </c>
      <c r="E143">
        <v>1</v>
      </c>
      <c r="F143" s="1">
        <v>150</v>
      </c>
      <c r="G143" s="1">
        <v>150</v>
      </c>
      <c r="H143" s="3">
        <v>50</v>
      </c>
      <c r="I143" s="3">
        <v>100</v>
      </c>
      <c r="J143" t="s">
        <v>23</v>
      </c>
      <c r="K143" t="s">
        <v>19</v>
      </c>
    </row>
    <row r="144" spans="1:11">
      <c r="A144" t="s">
        <v>175</v>
      </c>
      <c r="B144" s="2">
        <v>46007</v>
      </c>
      <c r="C144" t="s">
        <v>43</v>
      </c>
      <c r="D144" t="s">
        <v>22</v>
      </c>
      <c r="E144">
        <v>3</v>
      </c>
      <c r="F144" s="1">
        <v>2500</v>
      </c>
      <c r="G144" s="1">
        <v>7500</v>
      </c>
      <c r="H144" s="3">
        <v>6000</v>
      </c>
      <c r="I144" s="3">
        <v>1500</v>
      </c>
      <c r="J144" t="s">
        <v>29</v>
      </c>
      <c r="K144" t="s">
        <v>49</v>
      </c>
    </row>
    <row r="145" spans="1:11">
      <c r="A145" t="s">
        <v>176</v>
      </c>
      <c r="B145" s="2">
        <v>46008</v>
      </c>
      <c r="C145" t="s">
        <v>21</v>
      </c>
      <c r="D145" t="s">
        <v>22</v>
      </c>
      <c r="E145">
        <v>3</v>
      </c>
      <c r="F145" s="1">
        <v>4500</v>
      </c>
      <c r="G145" s="1">
        <v>13500</v>
      </c>
      <c r="H145" s="3">
        <v>11400</v>
      </c>
      <c r="I145" s="3">
        <v>2100</v>
      </c>
      <c r="J145" t="s">
        <v>31</v>
      </c>
      <c r="K145" t="s">
        <v>49</v>
      </c>
    </row>
    <row r="146" spans="1:11">
      <c r="A146" t="s">
        <v>177</v>
      </c>
      <c r="B146" s="2">
        <v>46010</v>
      </c>
      <c r="C146" t="s">
        <v>21</v>
      </c>
      <c r="D146" t="s">
        <v>22</v>
      </c>
      <c r="E146">
        <v>4</v>
      </c>
      <c r="F146" s="1">
        <v>4500</v>
      </c>
      <c r="G146" s="1">
        <v>18000</v>
      </c>
      <c r="H146" s="3">
        <v>15200</v>
      </c>
      <c r="I146" s="3">
        <v>2800</v>
      </c>
      <c r="J146" t="s">
        <v>14</v>
      </c>
      <c r="K146" t="s">
        <v>15</v>
      </c>
    </row>
    <row r="147" spans="1:11">
      <c r="A147" t="s">
        <v>178</v>
      </c>
      <c r="B147" s="2">
        <v>46010</v>
      </c>
      <c r="C147" t="s">
        <v>12</v>
      </c>
      <c r="D147" t="s">
        <v>13</v>
      </c>
      <c r="E147">
        <v>3</v>
      </c>
      <c r="F147" s="1">
        <v>350</v>
      </c>
      <c r="G147" s="1">
        <v>1050</v>
      </c>
      <c r="H147" s="3">
        <v>450</v>
      </c>
      <c r="I147" s="3">
        <v>600</v>
      </c>
      <c r="J147" t="s">
        <v>23</v>
      </c>
      <c r="K147" t="s">
        <v>15</v>
      </c>
    </row>
    <row r="148" spans="1:11">
      <c r="A148" t="s">
        <v>179</v>
      </c>
      <c r="B148" s="2">
        <v>46010</v>
      </c>
      <c r="C148" t="s">
        <v>39</v>
      </c>
      <c r="D148" t="s">
        <v>18</v>
      </c>
      <c r="E148">
        <v>2</v>
      </c>
      <c r="F148" s="1">
        <v>800</v>
      </c>
      <c r="G148" s="1">
        <v>1600</v>
      </c>
      <c r="H148" s="3">
        <v>1000</v>
      </c>
      <c r="I148" s="3">
        <v>600</v>
      </c>
      <c r="J148" t="s">
        <v>23</v>
      </c>
      <c r="K148" t="s">
        <v>19</v>
      </c>
    </row>
    <row r="149" spans="1:11">
      <c r="A149" t="s">
        <v>180</v>
      </c>
      <c r="B149" s="2">
        <v>46018</v>
      </c>
      <c r="C149" t="s">
        <v>28</v>
      </c>
      <c r="D149" t="s">
        <v>13</v>
      </c>
      <c r="E149">
        <v>5</v>
      </c>
      <c r="F149" s="1">
        <v>300</v>
      </c>
      <c r="G149" s="1">
        <v>1500</v>
      </c>
      <c r="H149" s="3">
        <v>600</v>
      </c>
      <c r="I149" s="3">
        <v>900</v>
      </c>
      <c r="J149" t="s">
        <v>48</v>
      </c>
      <c r="K149" t="s">
        <v>15</v>
      </c>
    </row>
    <row r="150" spans="1:11">
      <c r="A150" t="s">
        <v>181</v>
      </c>
      <c r="B150" s="2">
        <v>46019</v>
      </c>
      <c r="C150" t="s">
        <v>26</v>
      </c>
      <c r="D150" t="s">
        <v>13</v>
      </c>
      <c r="E150">
        <v>5</v>
      </c>
      <c r="F150" s="1">
        <v>250</v>
      </c>
      <c r="G150" s="1">
        <v>1250</v>
      </c>
      <c r="H150" s="3">
        <v>500</v>
      </c>
      <c r="I150" s="3">
        <v>750</v>
      </c>
      <c r="J150" t="s">
        <v>14</v>
      </c>
      <c r="K150" t="s">
        <v>37</v>
      </c>
    </row>
    <row r="151" spans="1:11">
      <c r="A151" t="s">
        <v>182</v>
      </c>
      <c r="B151" s="2">
        <v>46021</v>
      </c>
      <c r="C151" t="s">
        <v>39</v>
      </c>
      <c r="D151" t="s">
        <v>18</v>
      </c>
      <c r="E151">
        <v>2</v>
      </c>
      <c r="F151" s="1">
        <v>800</v>
      </c>
      <c r="G151" s="1">
        <v>1600</v>
      </c>
      <c r="H151" s="3">
        <v>1000</v>
      </c>
      <c r="I151" s="3">
        <v>600</v>
      </c>
      <c r="J151" t="s">
        <v>48</v>
      </c>
      <c r="K151" t="s">
        <v>15</v>
      </c>
    </row>
  </sheetData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1F06-0056-461E-AE96-35DA79C062C3}">
  <dimension ref="A3:I33"/>
  <sheetViews>
    <sheetView showGridLines="0" topLeftCell="C17" workbookViewId="0">
      <selection activeCell="B29" sqref="B29"/>
    </sheetView>
  </sheetViews>
  <sheetFormatPr defaultRowHeight="15"/>
  <cols>
    <col min="1" max="1" width="18.7109375" bestFit="1" customWidth="1"/>
    <col min="2" max="2" width="20.5703125" bestFit="1" customWidth="1"/>
    <col min="3" max="3" width="21.7109375" bestFit="1" customWidth="1"/>
  </cols>
  <sheetData>
    <row r="3" spans="1:9">
      <c r="A3" s="8" t="s">
        <v>183</v>
      </c>
      <c r="B3" t="s">
        <v>184</v>
      </c>
    </row>
    <row r="4" spans="1:9" ht="18.75">
      <c r="A4" s="9" t="s">
        <v>18</v>
      </c>
      <c r="B4" s="1">
        <v>59300</v>
      </c>
      <c r="D4" s="10"/>
      <c r="E4" s="10"/>
      <c r="F4" s="10"/>
      <c r="G4" s="10"/>
      <c r="H4" s="10"/>
      <c r="I4" s="10"/>
    </row>
    <row r="5" spans="1:9" ht="18.75">
      <c r="A5" s="9" t="s">
        <v>22</v>
      </c>
      <c r="B5" s="1">
        <v>382000</v>
      </c>
      <c r="D5" s="10" t="s">
        <v>185</v>
      </c>
      <c r="E5" s="10"/>
      <c r="F5" s="10"/>
      <c r="G5" s="10"/>
      <c r="H5" s="10"/>
      <c r="I5" s="10"/>
    </row>
    <row r="6" spans="1:9" ht="18.75">
      <c r="A6" s="9" t="s">
        <v>13</v>
      </c>
      <c r="B6" s="1">
        <v>57850</v>
      </c>
      <c r="D6" s="10"/>
      <c r="E6" s="10"/>
      <c r="F6" s="10"/>
      <c r="G6" s="10"/>
      <c r="H6" s="10"/>
      <c r="I6" s="10"/>
    </row>
    <row r="7" spans="1:9" ht="18.75">
      <c r="A7" s="9" t="s">
        <v>36</v>
      </c>
      <c r="B7" s="1">
        <v>10500</v>
      </c>
      <c r="D7" s="10"/>
      <c r="E7" s="10"/>
      <c r="F7" s="10"/>
      <c r="G7" s="10"/>
      <c r="H7" s="10"/>
      <c r="I7" s="10"/>
    </row>
    <row r="8" spans="1:9" ht="18.75">
      <c r="A8" s="9" t="s">
        <v>186</v>
      </c>
      <c r="B8" s="1">
        <v>509650</v>
      </c>
      <c r="D8" s="10"/>
      <c r="E8" s="10"/>
      <c r="F8" s="10"/>
      <c r="G8" s="10"/>
      <c r="H8" s="10"/>
      <c r="I8" s="10"/>
    </row>
    <row r="9" spans="1:9" ht="18.75">
      <c r="D9" s="10"/>
      <c r="E9" s="10"/>
      <c r="F9" s="10"/>
      <c r="G9" s="10"/>
      <c r="H9" s="10"/>
      <c r="I9" s="10"/>
    </row>
    <row r="10" spans="1:9" ht="18.75">
      <c r="D10" s="10"/>
      <c r="E10" s="10"/>
      <c r="F10" s="10"/>
      <c r="G10" s="10"/>
      <c r="H10" s="10"/>
      <c r="I10" s="10"/>
    </row>
    <row r="11" spans="1:9" ht="18.75">
      <c r="D11" s="10"/>
      <c r="E11" s="10"/>
      <c r="F11" s="10"/>
      <c r="G11" s="10"/>
      <c r="H11" s="10"/>
      <c r="I11" s="10"/>
    </row>
    <row r="12" spans="1:9" ht="18.75">
      <c r="D12" s="10"/>
      <c r="E12" s="10"/>
      <c r="F12" s="10"/>
      <c r="G12" s="10"/>
      <c r="H12" s="10"/>
      <c r="I12" s="10"/>
    </row>
    <row r="13" spans="1:9" ht="18.75">
      <c r="A13" s="8" t="s">
        <v>183</v>
      </c>
      <c r="B13" t="s">
        <v>187</v>
      </c>
      <c r="D13" s="10"/>
      <c r="E13" s="10"/>
      <c r="F13" s="10"/>
      <c r="G13" s="10"/>
      <c r="H13" s="10"/>
      <c r="I13" s="10"/>
    </row>
    <row r="14" spans="1:9" ht="18.75">
      <c r="A14" s="9" t="s">
        <v>35</v>
      </c>
      <c r="B14" s="16">
        <v>70</v>
      </c>
      <c r="D14" s="10"/>
      <c r="E14" s="10"/>
      <c r="F14" s="10"/>
      <c r="G14" s="10"/>
      <c r="H14" s="10"/>
      <c r="I14" s="10"/>
    </row>
    <row r="15" spans="1:9" ht="18.75">
      <c r="A15" s="9" t="s">
        <v>17</v>
      </c>
      <c r="B15" s="16">
        <v>50</v>
      </c>
      <c r="D15" s="10"/>
      <c r="E15" s="10"/>
      <c r="F15" s="10"/>
      <c r="G15" s="10"/>
      <c r="H15" s="10"/>
      <c r="I15" s="10"/>
    </row>
    <row r="16" spans="1:9" ht="18.75">
      <c r="A16" s="9" t="s">
        <v>28</v>
      </c>
      <c r="B16" s="16">
        <v>65</v>
      </c>
      <c r="D16" s="10"/>
      <c r="E16" s="10"/>
      <c r="F16" s="10"/>
      <c r="G16" s="10"/>
      <c r="H16" s="10"/>
      <c r="I16" s="10"/>
    </row>
    <row r="17" spans="1:9" ht="18.75">
      <c r="A17" s="9" t="s">
        <v>26</v>
      </c>
      <c r="B17" s="16">
        <v>61</v>
      </c>
      <c r="D17" s="10" t="s">
        <v>188</v>
      </c>
      <c r="E17" s="10"/>
      <c r="F17" s="10"/>
      <c r="G17" s="10"/>
      <c r="H17" s="10"/>
      <c r="I17" s="10"/>
    </row>
    <row r="18" spans="1:9" ht="18.75">
      <c r="A18" s="9" t="s">
        <v>39</v>
      </c>
      <c r="B18" s="16">
        <v>46</v>
      </c>
      <c r="D18" s="10"/>
      <c r="E18" s="10"/>
      <c r="F18" s="10"/>
      <c r="G18" s="10"/>
      <c r="H18" s="10"/>
      <c r="I18" s="10"/>
    </row>
    <row r="19" spans="1:9" ht="18.75">
      <c r="A19" s="9" t="s">
        <v>12</v>
      </c>
      <c r="B19" s="16">
        <v>66</v>
      </c>
      <c r="D19" s="10"/>
      <c r="E19" s="10"/>
      <c r="F19" s="10"/>
      <c r="G19" s="10"/>
      <c r="H19" s="10"/>
      <c r="I19" s="10"/>
    </row>
    <row r="20" spans="1:9" ht="18.75">
      <c r="A20" s="9" t="s">
        <v>43</v>
      </c>
      <c r="B20" s="16">
        <v>52</v>
      </c>
      <c r="E20" s="10"/>
      <c r="F20" s="10"/>
      <c r="G20" s="10"/>
      <c r="H20" s="10"/>
      <c r="I20" s="10"/>
    </row>
    <row r="21" spans="1:9" ht="18.75">
      <c r="A21" s="9" t="s">
        <v>21</v>
      </c>
      <c r="B21" s="16">
        <v>56</v>
      </c>
      <c r="D21" s="10"/>
      <c r="E21" s="10"/>
      <c r="F21" s="10"/>
      <c r="G21" s="10"/>
      <c r="H21" s="10"/>
      <c r="I21" s="10"/>
    </row>
    <row r="22" spans="1:9" ht="18.75">
      <c r="A22" s="9" t="s">
        <v>186</v>
      </c>
      <c r="B22" s="16">
        <v>466</v>
      </c>
      <c r="D22" s="10"/>
      <c r="E22" s="10"/>
      <c r="F22" s="10"/>
      <c r="G22" s="10"/>
      <c r="H22" s="10"/>
      <c r="I22" s="10"/>
    </row>
    <row r="23" spans="1:9" ht="18.75">
      <c r="D23" s="10"/>
      <c r="E23" s="10"/>
      <c r="F23" s="10"/>
      <c r="G23" s="10"/>
      <c r="H23" s="10"/>
      <c r="I23" s="10"/>
    </row>
    <row r="27" spans="1:9">
      <c r="A27" s="8" t="s">
        <v>183</v>
      </c>
      <c r="B27" t="s">
        <v>184</v>
      </c>
      <c r="C27" t="s">
        <v>189</v>
      </c>
    </row>
    <row r="28" spans="1:9">
      <c r="A28" s="9" t="s">
        <v>15</v>
      </c>
      <c r="B28" s="1">
        <v>175250</v>
      </c>
      <c r="C28" s="17">
        <v>0.34386343569116062</v>
      </c>
    </row>
    <row r="29" spans="1:9" ht="18.75">
      <c r="A29" s="9" t="s">
        <v>37</v>
      </c>
      <c r="B29" s="1">
        <v>121350</v>
      </c>
      <c r="C29" s="17">
        <v>0.23810458157559108</v>
      </c>
      <c r="D29" s="10" t="s">
        <v>190</v>
      </c>
    </row>
    <row r="30" spans="1:9">
      <c r="A30" s="9" t="s">
        <v>40</v>
      </c>
      <c r="B30" s="1">
        <v>84800</v>
      </c>
      <c r="C30" s="17">
        <v>0.16638869812616502</v>
      </c>
    </row>
    <row r="31" spans="1:9">
      <c r="A31" s="9" t="s">
        <v>19</v>
      </c>
      <c r="B31" s="1">
        <v>65550</v>
      </c>
      <c r="C31" s="17">
        <v>0.12861767879917591</v>
      </c>
    </row>
    <row r="32" spans="1:9">
      <c r="A32" s="9" t="s">
        <v>49</v>
      </c>
      <c r="B32" s="1">
        <v>62700</v>
      </c>
      <c r="C32" s="17">
        <v>0.12302560580790739</v>
      </c>
    </row>
    <row r="33" spans="1:3">
      <c r="A33" s="9" t="s">
        <v>186</v>
      </c>
      <c r="B33" s="1">
        <v>509650</v>
      </c>
      <c r="C33" s="17">
        <v>1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F043-1BA7-473C-ADE6-432493C2DD2D}">
  <dimension ref="A1:AB38"/>
  <sheetViews>
    <sheetView showGridLines="0" showRowColHeaders="0" tabSelected="1" topLeftCell="A15" workbookViewId="0">
      <selection activeCell="H48" sqref="H48:I12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/>
  <cols>
    <col min="1" max="1" width="28.140625" customWidth="1"/>
    <col min="2" max="2" width="1.140625" style="13" customWidth="1"/>
    <col min="3" max="18" width="9.140625" customWidth="1"/>
    <col min="19" max="28" width="0" hidden="1" customWidth="1"/>
    <col min="29" max="16384" width="9.140625" hidden="1"/>
  </cols>
  <sheetData>
    <row r="1" spans="1:18">
      <c r="A1" s="11"/>
    </row>
    <row r="2" spans="1:18">
      <c r="A2" s="11"/>
    </row>
    <row r="3" spans="1:18" ht="20.25" thickBot="1">
      <c r="A3" s="11"/>
      <c r="C3" s="14" t="s">
        <v>191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8" customHeight="1" thickTop="1">
      <c r="A4" s="11"/>
    </row>
    <row r="5" spans="1:18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18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18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8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8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1:18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1:18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8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18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1:18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8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8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8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8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1:18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1:18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spans="1:18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8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1:18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1:18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2026-01-11T13:49:06Z</dcterms:created>
  <dcterms:modified xsi:type="dcterms:W3CDTF">2026-01-23T20:22:25Z</dcterms:modified>
  <cp:category/>
  <cp:contentStatus/>
</cp:coreProperties>
</file>