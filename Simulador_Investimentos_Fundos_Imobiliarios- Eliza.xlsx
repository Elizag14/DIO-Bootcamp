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felipe.local\Videos\Controle de investimentos\"/>
    </mc:Choice>
  </mc:AlternateContent>
  <xr:revisionPtr revIDLastSave="0" documentId="8_{17C5B352-69A2-4100-B99C-EB12C7CFF89C}" xr6:coauthVersionLast="47" xr6:coauthVersionMax="47" xr10:uidLastSave="{00000000-0000-0000-0000-000000000000}"/>
  <bookViews>
    <workbookView xWindow="-20610" yWindow="630" windowWidth="20730" windowHeight="11760" tabRatio="345" xr2:uid="{D63472A4-8300-4934-9C87-0EC792DCF89D}"/>
  </bookViews>
  <sheets>
    <sheet name="APP" sheetId="1" r:id="rId1"/>
    <sheet name="Planilha2" sheetId="2" r:id="rId2"/>
  </sheets>
  <definedNames>
    <definedName name="_xlchart.v1.0" hidden="1">APP!$B$36:$B$41</definedName>
    <definedName name="_xlchart.v1.1" hidden="1">APP!$C$35</definedName>
    <definedName name="_xlchart.v1.2" hidden="1">APP!$C$36:$C$41</definedName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<sst xmlns="http://schemas.openxmlformats.org/spreadsheetml/2006/main" count="71" uniqueCount="34">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</sst>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9" fillId="3" borderId="5" xfId="0" applyFont="1" applyFill="1" applyBorder="1" applyAlignment="1">
      <alignment horizontal="left" indent="3"/>
    </xf>
    <xf numFmtId="164" fontId="10" fillId="3" borderId="6" xfId="0" applyNumberFormat="1" applyFont="1" applyFill="1" applyBorder="1" applyAlignment="1">
      <alignment horizontal="center"/>
    </xf>
    <xf numFmtId="164" fontId="10" fillId="3" borderId="7" xfId="0" applyNumberFormat="1" applyFont="1" applyFill="1" applyBorder="1" applyAlignment="1">
      <alignment horizontal="center"/>
    </xf>
    <xf numFmtId="0" fontId="9" fillId="3" borderId="8" xfId="0" applyFont="1" applyFill="1" applyBorder="1" applyAlignment="1">
      <alignment horizontal="left" indent="3"/>
    </xf>
    <xf numFmtId="164" fontId="10" fillId="3" borderId="9" xfId="0" applyNumberFormat="1" applyFont="1" applyFill="1" applyBorder="1" applyAlignment="1">
      <alignment horizontal="center"/>
    </xf>
    <xf numFmtId="164" fontId="10" fillId="3" borderId="1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left" indent="3"/>
    </xf>
    <xf numFmtId="164" fontId="10" fillId="3" borderId="12" xfId="0" applyNumberFormat="1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3" borderId="19" xfId="0" applyNumberFormat="1" applyFont="1" applyFill="1" applyBorder="1" applyAlignment="1">
      <alignment horizontal="center"/>
    </xf>
    <xf numFmtId="8" fontId="11" fillId="3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4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4" borderId="0" xfId="0" applyFont="1" applyFill="1"/>
    <xf numFmtId="164" fontId="3" fillId="4" borderId="0" xfId="1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2" fillId="2" borderId="0" xfId="2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9" fillId="4" borderId="14" xfId="0" applyFont="1" applyFill="1" applyBorder="1" applyAlignment="1">
      <alignment horizontal="left" indent="3"/>
    </xf>
    <xf numFmtId="0" fontId="9" fillId="4" borderId="15" xfId="0" applyFont="1" applyFill="1" applyBorder="1" applyAlignment="1">
      <alignment horizontal="left" indent="3"/>
    </xf>
    <xf numFmtId="0" fontId="9" fillId="4" borderId="17" xfId="0" applyFont="1" applyFill="1" applyBorder="1" applyAlignment="1">
      <alignment horizontal="left" indent="3"/>
    </xf>
    <xf numFmtId="0" fontId="9" fillId="4" borderId="18" xfId="0" applyFont="1" applyFill="1" applyBorder="1" applyAlignment="1">
      <alignment horizontal="left" indent="3"/>
    </xf>
    <xf numFmtId="0" fontId="12" fillId="3" borderId="20" xfId="0" applyFont="1" applyFill="1" applyBorder="1" applyAlignment="1">
      <alignment horizontal="left" indent="3"/>
    </xf>
    <xf numFmtId="0" fontId="12" fillId="3" borderId="21" xfId="0" applyFont="1" applyFill="1" applyBorder="1" applyAlignment="1">
      <alignment horizontal="left" indent="3"/>
    </xf>
    <xf numFmtId="0" fontId="9" fillId="4" borderId="20" xfId="0" applyFont="1" applyFill="1" applyBorder="1" applyAlignment="1">
      <alignment horizontal="left" indent="3"/>
    </xf>
    <xf numFmtId="0" fontId="9" fillId="4" borderId="21" xfId="0" applyFont="1" applyFill="1" applyBorder="1" applyAlignment="1">
      <alignment horizontal="left" indent="3"/>
    </xf>
    <xf numFmtId="0" fontId="12" fillId="3" borderId="17" xfId="0" applyFont="1" applyFill="1" applyBorder="1" applyAlignment="1">
      <alignment horizontal="left" indent="3"/>
    </xf>
    <xf numFmtId="0" fontId="12" fillId="3" borderId="18" xfId="0" applyFont="1" applyFill="1" applyBorder="1" applyAlignment="1">
      <alignment horizontal="left" indent="3"/>
    </xf>
    <xf numFmtId="0" fontId="5" fillId="8" borderId="1" xfId="0" applyFont="1" applyFill="1" applyBorder="1" applyAlignment="1">
      <alignment horizontal="right" vertical="center"/>
    </xf>
    <xf numFmtId="0" fontId="6" fillId="8" borderId="3" xfId="0" applyFont="1" applyFill="1" applyBorder="1" applyAlignment="1">
      <alignment horizontal="right"/>
    </xf>
    <xf numFmtId="0" fontId="5" fillId="8" borderId="2" xfId="0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treemap" uniqueId="{B4DEAFCD-9784-4BE9-AE60-DD92DFECA910}">
          <cx:tx>
            <cx:txData>
              <cx:f>_xlchart.v1.1</cx:f>
              <cx:v>Percentual Sugerido</cx:v>
            </cx:txData>
          </cx:tx>
          <cx:dataLabels>
            <cx:visibility seriesName="0" categoryName="0" value="1"/>
          </cx:dataLabels>
          <cx:dataId val="0"/>
          <cx:layoutPr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microsoft.com/office/2014/relationships/chartEx" Target="../charts/chartEx1.xm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C4B8E7C0-F2C3-7792-03A6-894CBA5335FE}"/>
                </a:ext>
                <a:ext uri="{147F2762-F138-4A5C-976F-8EAC2B608ADB}">
                  <a16:predDERef xmlns:a16="http://schemas.microsoft.com/office/drawing/2014/main" pred="{A06C0C26-EE62-D9A1-8A3D-A7E61EE75D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0</xdr:colOff>
      <xdr:row>4</xdr:row>
      <xdr:rowOff>95250</xdr:rowOff>
    </xdr:from>
    <xdr:to>
      <xdr:col>16384</xdr:col>
      <xdr:colOff>2238375</xdr:colOff>
      <xdr:row>13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70E2918-F0AD-6A8E-3C00-FF1B4442A9DC}"/>
            </a:ext>
            <a:ext uri="{147F2762-F138-4A5C-976F-8EAC2B608ADB}">
              <a16:predDERef xmlns:a16="http://schemas.microsoft.com/office/drawing/2014/main" pred="{C4B8E7C0-F2C3-7792-03A6-894CBA53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00" y="819150"/>
          <a:ext cx="1828800" cy="1828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161925</xdr:rowOff>
    </xdr:from>
    <xdr:to>
      <xdr:col>16384</xdr:col>
      <xdr:colOff>857250</xdr:colOff>
      <xdr:row>12</xdr:row>
      <xdr:rowOff>209550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5A64958-0EAB-ADF4-BCC1-DC73F610B03C}"/>
            </a:ext>
            <a:ext uri="{147F2762-F138-4A5C-976F-8EAC2B608ADB}">
              <a16:predDERef xmlns:a16="http://schemas.microsoft.com/office/drawing/2014/main" pred="{370E2918-F0AD-6A8E-3C00-FF1B4442A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58075" y="1428750"/>
          <a:ext cx="1143000" cy="1143000"/>
        </a:xfrm>
        <a:prstGeom prst="rect">
          <a:avLst/>
        </a:prstGeom>
      </xdr:spPr>
    </xdr:pic>
    <xdr:clientData/>
  </xdr:twoCellAnchor>
  <xdr:twoCellAnchor>
    <xdr:from>
      <xdr:col>16384</xdr:col>
      <xdr:colOff>762000</xdr:colOff>
      <xdr:row>12</xdr:row>
      <xdr:rowOff>200025</xdr:rowOff>
    </xdr:from>
    <xdr:to>
      <xdr:col>16384</xdr:col>
      <xdr:colOff>1714500</xdr:colOff>
      <xdr:row>16</xdr:row>
      <xdr:rowOff>152400</xdr:rowOff>
    </xdr:to>
    <xdr:sp macro="" textlink="">
      <xdr:nvSpPr>
        <xdr:cNvPr id="14" name="Retângulo Arredondado 13">
          <a:extLst>
            <a:ext uri="{FF2B5EF4-FFF2-40B4-BE49-F238E27FC236}">
              <a16:creationId xmlns:a16="http://schemas.microsoft.com/office/drawing/2014/main" id="{E6152030-F651-417A-FE1A-6D98F71E51D7}"/>
            </a:ext>
            <a:ext uri="{147F2762-F138-4A5C-976F-8EAC2B608ADB}">
              <a16:predDERef xmlns:a16="http://schemas.microsoft.com/office/drawing/2014/main" pred="{2FD98D8C-B160-B136-87EF-09F442D2A621}"/>
            </a:ext>
          </a:extLst>
        </xdr:cNvPr>
        <xdr:cNvSpPr/>
      </xdr:nvSpPr>
      <xdr:spPr>
        <a:xfrm>
          <a:off x="7362825" y="2562225"/>
          <a:ext cx="952500" cy="952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16384</xdr:col>
      <xdr:colOff>762000</xdr:colOff>
      <xdr:row>12</xdr:row>
      <xdr:rowOff>200025</xdr:rowOff>
    </xdr:from>
    <xdr:to>
      <xdr:col>16384</xdr:col>
      <xdr:colOff>1714500</xdr:colOff>
      <xdr:row>16</xdr:row>
      <xdr:rowOff>152400</xdr:rowOff>
    </xdr:to>
    <xdr:sp macro="" textlink="">
      <xdr:nvSpPr>
        <xdr:cNvPr id="15" name="Retângulo Arredondado 14">
          <a:extLst>
            <a:ext uri="{FF2B5EF4-FFF2-40B4-BE49-F238E27FC236}">
              <a16:creationId xmlns:a16="http://schemas.microsoft.com/office/drawing/2014/main" id="{3C59F4B5-0754-1A33-D965-5A88CBEE0F91}"/>
            </a:ext>
            <a:ext uri="{147F2762-F138-4A5C-976F-8EAC2B608ADB}">
              <a16:predDERef xmlns:a16="http://schemas.microsoft.com/office/drawing/2014/main" pred="{E6152030-F651-417A-FE1A-6D98F71E51D7}"/>
            </a:ext>
          </a:extLst>
        </xdr:cNvPr>
        <xdr:cNvSpPr/>
      </xdr:nvSpPr>
      <xdr:spPr>
        <a:xfrm>
          <a:off x="7362825" y="2562225"/>
          <a:ext cx="952500" cy="952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16384</xdr:col>
      <xdr:colOff>762000</xdr:colOff>
      <xdr:row>12</xdr:row>
      <xdr:rowOff>200025</xdr:rowOff>
    </xdr:from>
    <xdr:to>
      <xdr:col>16384</xdr:col>
      <xdr:colOff>1714500</xdr:colOff>
      <xdr:row>16</xdr:row>
      <xdr:rowOff>152400</xdr:rowOff>
    </xdr:to>
    <xdr:sp macro="" textlink="">
      <xdr:nvSpPr>
        <xdr:cNvPr id="16" name="Retângulo Arredondado 15">
          <a:extLst>
            <a:ext uri="{FF2B5EF4-FFF2-40B4-BE49-F238E27FC236}">
              <a16:creationId xmlns:a16="http://schemas.microsoft.com/office/drawing/2014/main" id="{BB3D188C-E629-8441-5265-86D136EE2D18}"/>
            </a:ext>
            <a:ext uri="{147F2762-F138-4A5C-976F-8EAC2B608ADB}">
              <a16:predDERef xmlns:a16="http://schemas.microsoft.com/office/drawing/2014/main" pred="{3C59F4B5-0754-1A33-D965-5A88CBEE0F91}"/>
            </a:ext>
          </a:extLst>
        </xdr:cNvPr>
        <xdr:cNvSpPr/>
      </xdr:nvSpPr>
      <xdr:spPr>
        <a:xfrm>
          <a:off x="7362825" y="2562225"/>
          <a:ext cx="952500" cy="952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0</xdr:col>
      <xdr:colOff>352425</xdr:colOff>
      <xdr:row>0</xdr:row>
      <xdr:rowOff>171450</xdr:rowOff>
    </xdr:from>
    <xdr:to>
      <xdr:col>4</xdr:col>
      <xdr:colOff>209550</xdr:colOff>
      <xdr:row>8</xdr:row>
      <xdr:rowOff>123825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700626C5-8275-75F0-5AD9-2A380EEA3E8C}"/>
            </a:ext>
            <a:ext uri="{147F2762-F138-4A5C-976F-8EAC2B608ADB}">
              <a16:predDERef xmlns:a16="http://schemas.microsoft.com/office/drawing/2014/main" pred="{BB3D188C-E629-8441-5265-86D136EE2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2425" y="171450"/>
          <a:ext cx="5505450" cy="140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topLeftCell="A29" zoomScale="110" zoomScaleNormal="110" workbookViewId="0">
      <selection activeCell="B23" sqref="B23:D23"/>
    </sheetView>
  </sheetViews>
  <sheetFormatPr defaultColWidth="0" defaultRowHeight="14.4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" thickBot="1"/>
    <row r="11" spans="2:4" ht="26.1">
      <c r="B11" s="49" t="s">
        <v>0</v>
      </c>
      <c r="C11" s="50"/>
      <c r="D11" s="51"/>
    </row>
    <row r="12" spans="2:4" ht="17.45">
      <c r="B12" s="39" t="s">
        <v>1</v>
      </c>
      <c r="C12" s="40"/>
      <c r="D12" s="19">
        <v>10000</v>
      </c>
    </row>
    <row r="13" spans="2:4" ht="17.45">
      <c r="B13" s="41" t="s">
        <v>2</v>
      </c>
      <c r="C13" s="42"/>
      <c r="D13" s="20">
        <v>0.1</v>
      </c>
    </row>
    <row r="14" spans="2:4" ht="18" thickBot="1">
      <c r="B14" s="45" t="s">
        <v>3</v>
      </c>
      <c r="C14" s="46"/>
      <c r="D14" s="21">
        <f>D12*30%</f>
        <v>3000</v>
      </c>
    </row>
    <row r="15" spans="2:4" ht="15" thickBot="1"/>
    <row r="16" spans="2:4" ht="28.5" customHeight="1">
      <c r="B16" s="52" t="s">
        <v>4</v>
      </c>
      <c r="C16" s="53"/>
      <c r="D16" s="54"/>
    </row>
    <row r="17" spans="1:6" ht="17.45">
      <c r="B17" s="39" t="s">
        <v>5</v>
      </c>
      <c r="C17" s="40"/>
      <c r="D17" s="14">
        <v>1000</v>
      </c>
    </row>
    <row r="18" spans="1:6" ht="17.45">
      <c r="B18" s="41" t="s">
        <v>6</v>
      </c>
      <c r="C18" s="42"/>
      <c r="D18" s="15">
        <v>1</v>
      </c>
    </row>
    <row r="19" spans="1:6" ht="17.45">
      <c r="B19" s="41" t="s">
        <v>7</v>
      </c>
      <c r="C19" s="42"/>
      <c r="D19" s="16">
        <v>1.0789999999999999E-2</v>
      </c>
    </row>
    <row r="20" spans="1:6" ht="17.45">
      <c r="B20" s="47" t="s">
        <v>8</v>
      </c>
      <c r="C20" s="48"/>
      <c r="D20" s="17">
        <f>FV(taxa_mensal,qtd_anos*12,aporte*-1)</f>
        <v>12738.38600055656</v>
      </c>
    </row>
    <row r="21" spans="1:6" ht="18" thickBot="1">
      <c r="B21" s="43" t="s">
        <v>9</v>
      </c>
      <c r="C21" s="44"/>
      <c r="D21" s="18">
        <f>patrimonio*rendimento_carteira</f>
        <v>1273.8386000556561</v>
      </c>
      <c r="F21" s="3"/>
    </row>
    <row r="22" spans="1:6" ht="15" thickBot="1"/>
    <row r="23" spans="1:6" ht="29.1">
      <c r="B23" s="52" t="s">
        <v>10</v>
      </c>
      <c r="C23" s="53"/>
      <c r="D23" s="55" t="s">
        <v>11</v>
      </c>
    </row>
    <row r="24" spans="1:6" ht="17.45">
      <c r="A24" s="1">
        <v>2</v>
      </c>
      <c r="B24" s="5" t="s">
        <v>12</v>
      </c>
      <c r="C24" s="6">
        <f>FV($D$19,$A24*12,$D$17*-1)</f>
        <v>27227.627297645216</v>
      </c>
      <c r="D24" s="7">
        <f>C24*rendimento_carteira</f>
        <v>2722.7627297645217</v>
      </c>
    </row>
    <row r="25" spans="1:6" ht="17.45">
      <c r="A25" s="1">
        <v>5</v>
      </c>
      <c r="B25" s="8" t="s">
        <v>13</v>
      </c>
      <c r="C25" s="9">
        <f>FV($D$19,$A25*12,$D$17*-1)</f>
        <v>83776.913998487638</v>
      </c>
      <c r="D25" s="10">
        <f>C25*rendimento_carteira</f>
        <v>8377.6913998487635</v>
      </c>
    </row>
    <row r="26" spans="1:6" ht="17.45">
      <c r="A26" s="1">
        <v>10</v>
      </c>
      <c r="B26" s="8" t="s">
        <v>14</v>
      </c>
      <c r="C26" s="9">
        <f>FV($D$19,$A26*12,$D$17*-1)</f>
        <v>243284.2125301722</v>
      </c>
      <c r="D26" s="10">
        <f>C26*rendimento_carteira</f>
        <v>24328.421253017223</v>
      </c>
    </row>
    <row r="27" spans="1:6" ht="17.45">
      <c r="A27" s="1">
        <v>20</v>
      </c>
      <c r="B27" s="8" t="s">
        <v>15</v>
      </c>
      <c r="C27" s="9">
        <f>FV($D$19,$A27*12,$D$17*-1)</f>
        <v>1125198.4000970805</v>
      </c>
      <c r="D27" s="10">
        <f>C27*rendimento_carteira</f>
        <v>112519.84000970806</v>
      </c>
    </row>
    <row r="28" spans="1:6" ht="18" thickBot="1">
      <c r="A28" s="1">
        <v>30</v>
      </c>
      <c r="B28" s="11" t="s">
        <v>16</v>
      </c>
      <c r="C28" s="12">
        <f>FV($D$19,$A28*12,$D$17*-1)</f>
        <v>4322169.6550047146</v>
      </c>
      <c r="D28" s="13">
        <f>C28*rendimento_carteira</f>
        <v>432216.96550047147</v>
      </c>
    </row>
    <row r="32" spans="1:6">
      <c r="B32" s="22" t="s">
        <v>17</v>
      </c>
      <c r="C32" s="23" t="s">
        <v>18</v>
      </c>
      <c r="D32" s="22"/>
    </row>
    <row r="33" spans="2:4">
      <c r="B33" s="24" t="s">
        <v>19</v>
      </c>
      <c r="C33" s="25">
        <f>aporte</f>
        <v>1000</v>
      </c>
      <c r="D33" s="24"/>
    </row>
    <row r="35" spans="2:4">
      <c r="B35" s="26" t="s">
        <v>20</v>
      </c>
      <c r="C35" s="26" t="s">
        <v>21</v>
      </c>
      <c r="D35" s="26" t="s">
        <v>22</v>
      </c>
    </row>
    <row r="36" spans="2:4">
      <c r="B36" s="2" t="s">
        <v>23</v>
      </c>
      <c r="C36" s="4">
        <f>VLOOKUP($C$32&amp;"-"&amp;B36,Planilha2!$A:$D,4,FALSE)</f>
        <v>0.32</v>
      </c>
      <c r="D36" s="29">
        <f>C36*$C$33</f>
        <v>320</v>
      </c>
    </row>
    <row r="37" spans="2:4">
      <c r="B37" s="2" t="s">
        <v>24</v>
      </c>
      <c r="C37" s="4">
        <f>VLOOKUP($C$32&amp;"-"&amp;B37,Planilha2!$A:$D,4,FALSE)</f>
        <v>0.35</v>
      </c>
      <c r="D37" s="29">
        <f t="shared" ref="D37:D41" si="0">C37*$C$33</f>
        <v>350</v>
      </c>
    </row>
    <row r="38" spans="2:4">
      <c r="B38" s="2" t="s">
        <v>25</v>
      </c>
      <c r="C38" s="4">
        <f>VLOOKUP($C$32&amp;"-"&amp;B38,Planilha2!$A:$D,4,FALSE)</f>
        <v>0.08</v>
      </c>
      <c r="D38" s="29">
        <f t="shared" si="0"/>
        <v>80</v>
      </c>
    </row>
    <row r="39" spans="2:4">
      <c r="B39" s="2" t="s">
        <v>26</v>
      </c>
      <c r="C39" s="4">
        <f>VLOOKUP($C$32&amp;"-"&amp;B39,Planilha2!$A:$D,4,FALSE)</f>
        <v>0.05</v>
      </c>
      <c r="D39" s="29">
        <f t="shared" si="0"/>
        <v>50</v>
      </c>
    </row>
    <row r="40" spans="2:4">
      <c r="B40" s="2" t="s">
        <v>27</v>
      </c>
      <c r="C40" s="4">
        <f>VLOOKUP($C$32&amp;"-"&amp;B40,Planilha2!$A:$D,4,FALSE)</f>
        <v>0.1</v>
      </c>
      <c r="D40" s="29">
        <f t="shared" si="0"/>
        <v>100</v>
      </c>
    </row>
    <row r="41" spans="2:4">
      <c r="B41" s="2" t="s">
        <v>28</v>
      </c>
      <c r="C41" s="4">
        <f>VLOOKUP($C$32&amp;"-"&amp;B41,Planilha2!$A:$D,4,FALSE)</f>
        <v>0.1</v>
      </c>
      <c r="D41" s="29">
        <f t="shared" si="0"/>
        <v>100</v>
      </c>
    </row>
    <row r="42" spans="2:4">
      <c r="B42" s="27"/>
      <c r="C42" s="27"/>
      <c r="D42" s="28">
        <f>SUM(D36:D41)</f>
        <v>1000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4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>
      <c r="A2" s="37" t="s">
        <v>29</v>
      </c>
      <c r="B2" s="37" t="s">
        <v>17</v>
      </c>
      <c r="C2" s="38" t="s">
        <v>20</v>
      </c>
      <c r="D2" s="38" t="s">
        <v>30</v>
      </c>
    </row>
    <row r="3" spans="1:8">
      <c r="A3" t="str">
        <f>B3&amp;"-"&amp;C3</f>
        <v>Conservador-PAPEL</v>
      </c>
      <c r="B3" t="s">
        <v>31</v>
      </c>
      <c r="C3" s="2" t="s">
        <v>23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31</v>
      </c>
      <c r="C4" s="2" t="s">
        <v>24</v>
      </c>
      <c r="D4" s="4">
        <v>0.5</v>
      </c>
      <c r="G4" s="22" t="s">
        <v>32</v>
      </c>
      <c r="H4" s="36">
        <f>VLOOKUP(G4,$A:$D,4,FALSE)</f>
        <v>0.35</v>
      </c>
    </row>
    <row r="5" spans="1:8">
      <c r="A5" t="str">
        <f t="shared" si="0"/>
        <v>Conservador-HÍBRIDOS</v>
      </c>
      <c r="B5" t="s">
        <v>31</v>
      </c>
      <c r="C5" s="2" t="s">
        <v>25</v>
      </c>
      <c r="D5" s="4">
        <v>0.1</v>
      </c>
    </row>
    <row r="6" spans="1:8">
      <c r="A6" t="str">
        <f t="shared" si="0"/>
        <v>Conservador-FOFs</v>
      </c>
      <c r="B6" t="s">
        <v>31</v>
      </c>
      <c r="C6" s="2" t="s">
        <v>26</v>
      </c>
      <c r="D6" s="4">
        <v>0.1</v>
      </c>
    </row>
    <row r="7" spans="1:8">
      <c r="A7" t="str">
        <f t="shared" si="0"/>
        <v>Conservador-DESENVOLVIMENTO</v>
      </c>
      <c r="B7" t="s">
        <v>31</v>
      </c>
      <c r="C7" s="2" t="s">
        <v>27</v>
      </c>
      <c r="D7" s="4">
        <v>0</v>
      </c>
    </row>
    <row r="8" spans="1:8" ht="15" thickBot="1">
      <c r="A8" s="30" t="str">
        <f t="shared" si="0"/>
        <v>Conservador-HOTELARIAS</v>
      </c>
      <c r="B8" s="30" t="s">
        <v>31</v>
      </c>
      <c r="C8" s="31" t="s">
        <v>28</v>
      </c>
      <c r="D8" s="32">
        <v>0</v>
      </c>
    </row>
    <row r="9" spans="1:8">
      <c r="A9" t="str">
        <f t="shared" si="0"/>
        <v>Moderado-PAPEL</v>
      </c>
      <c r="B9" t="s">
        <v>18</v>
      </c>
      <c r="C9" s="2" t="s">
        <v>23</v>
      </c>
      <c r="D9" s="4">
        <v>0.32</v>
      </c>
    </row>
    <row r="10" spans="1:8">
      <c r="A10" s="33" t="str">
        <f t="shared" si="0"/>
        <v>Moderado-TIJOLO</v>
      </c>
      <c r="B10" s="33" t="s">
        <v>18</v>
      </c>
      <c r="C10" s="34" t="s">
        <v>24</v>
      </c>
      <c r="D10" s="35">
        <v>0.35</v>
      </c>
    </row>
    <row r="11" spans="1:8">
      <c r="A11" t="str">
        <f t="shared" si="0"/>
        <v>Moderado-HÍBRIDOS</v>
      </c>
      <c r="B11" t="s">
        <v>18</v>
      </c>
      <c r="C11" s="2" t="s">
        <v>25</v>
      </c>
      <c r="D11" s="4">
        <v>0.08</v>
      </c>
    </row>
    <row r="12" spans="1:8">
      <c r="A12" t="str">
        <f t="shared" si="0"/>
        <v>Moderado-FOFs</v>
      </c>
      <c r="B12" t="s">
        <v>18</v>
      </c>
      <c r="C12" s="2" t="s">
        <v>26</v>
      </c>
      <c r="D12" s="4">
        <v>0.05</v>
      </c>
    </row>
    <row r="13" spans="1:8">
      <c r="A13" t="str">
        <f t="shared" si="0"/>
        <v>Moderado-DESENVOLVIMENTO</v>
      </c>
      <c r="B13" t="s">
        <v>18</v>
      </c>
      <c r="C13" s="2" t="s">
        <v>27</v>
      </c>
      <c r="D13" s="4">
        <v>0.1</v>
      </c>
    </row>
    <row r="14" spans="1:8" ht="15" thickBot="1">
      <c r="A14" s="30" t="str">
        <f t="shared" si="0"/>
        <v>Moderado-HOTELARIAS</v>
      </c>
      <c r="B14" s="30" t="s">
        <v>18</v>
      </c>
      <c r="C14" s="31" t="s">
        <v>28</v>
      </c>
      <c r="D14" s="32">
        <v>0.1</v>
      </c>
    </row>
    <row r="15" spans="1:8">
      <c r="A15" t="str">
        <f t="shared" si="0"/>
        <v>Agressivo-PAPEL</v>
      </c>
      <c r="B15" t="s">
        <v>33</v>
      </c>
      <c r="C15" s="2" t="s">
        <v>23</v>
      </c>
      <c r="D15" s="4">
        <v>0.5</v>
      </c>
    </row>
    <row r="16" spans="1:8">
      <c r="A16" t="str">
        <f t="shared" si="0"/>
        <v>Agressivo-TIJOLO</v>
      </c>
      <c r="B16" t="s">
        <v>33</v>
      </c>
      <c r="C16" s="2" t="s">
        <v>24</v>
      </c>
      <c r="D16" s="4">
        <v>0.1</v>
      </c>
    </row>
    <row r="17" spans="1:4">
      <c r="A17" t="str">
        <f t="shared" si="0"/>
        <v>Agressivo-HÍBRIDOS</v>
      </c>
      <c r="B17" t="s">
        <v>33</v>
      </c>
      <c r="C17" s="2" t="s">
        <v>25</v>
      </c>
      <c r="D17" s="4">
        <v>0.05</v>
      </c>
    </row>
    <row r="18" spans="1:4">
      <c r="A18" t="str">
        <f t="shared" si="0"/>
        <v>Agressivo-FOFs</v>
      </c>
      <c r="B18" t="s">
        <v>33</v>
      </c>
      <c r="C18" s="2" t="s">
        <v>26</v>
      </c>
      <c r="D18" s="4">
        <v>0.05</v>
      </c>
    </row>
    <row r="19" spans="1:4">
      <c r="A19" t="str">
        <f t="shared" si="0"/>
        <v>Agressivo-DESENVOLVIMENTO</v>
      </c>
      <c r="B19" t="s">
        <v>33</v>
      </c>
      <c r="C19" s="2" t="s">
        <v>27</v>
      </c>
      <c r="D19" s="4">
        <v>0.2</v>
      </c>
    </row>
    <row r="20" spans="1:4">
      <c r="A20" t="str">
        <f t="shared" si="0"/>
        <v>Agressivo-HOTELARIAS</v>
      </c>
      <c r="B20" t="s">
        <v>33</v>
      </c>
      <c r="C20" s="2" t="s">
        <v>28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BC473-00BC-48E4-BFA3-FE8E2B1F0015}"/>
</file>

<file path=customXml/itemProps2.xml><?xml version="1.0" encoding="utf-8"?>
<ds:datastoreItem xmlns:ds="http://schemas.openxmlformats.org/officeDocument/2006/customXml" ds:itemID="{54D0D6DD-E6DB-45C8-8F90-E314C090C085}"/>
</file>

<file path=customXml/itemProps3.xml><?xml version="1.0" encoding="utf-8"?>
<ds:datastoreItem xmlns:ds="http://schemas.openxmlformats.org/officeDocument/2006/customXml" ds:itemID="{C32110DE-3D77-470C-9CED-65521C30E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2025-04-16T18:38:03Z</dcterms:created>
  <dcterms:modified xsi:type="dcterms:W3CDTF">2026-01-12T20:04:38Z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