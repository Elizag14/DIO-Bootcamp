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_ed\Downloads\"/>
    </mc:Choice>
  </mc:AlternateContent>
  <xr:revisionPtr revIDLastSave="0" documentId="13_ncr:1_{D196F16B-BCF1-4847-9FCA-F0D142956180}" xr6:coauthVersionLast="47" xr6:coauthVersionMax="47" xr10:uidLastSave="{00000000-0000-0000-0000-000000000000}"/>
  <bookViews>
    <workbookView xWindow="-108" yWindow="-108" windowWidth="23256" windowHeight="12456" firstSheet="1" activeTab="5" xr2:uid="{BE216331-C749-49FD-B8BB-3B8C09A80472}"/>
  </bookViews>
  <sheets>
    <sheet name="Dados do Contribuinte" sheetId="1" r:id="rId1"/>
    <sheet name="Rendimentos Tributáveis" sheetId="2" r:id="rId2"/>
    <sheet name="Rend. isentos e não tributáveis" sheetId="3" r:id="rId3"/>
    <sheet name="Despesas Dedutíveis" sheetId="4" r:id="rId4"/>
    <sheet name="Bens e Direitos" sheetId="5" r:id="rId5"/>
    <sheet name="Resumos Gerai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C2" i="2"/>
  <c r="C3" i="2" s="1"/>
  <c r="F7" i="5"/>
  <c r="E10" i="4"/>
  <c r="E12" i="3"/>
  <c r="B3" i="2"/>
  <c r="D3" i="2" l="1"/>
  <c r="E3" i="2" s="1"/>
  <c r="D2" i="2"/>
  <c r="E2" i="2" s="1"/>
  <c r="D5" i="7" s="1"/>
  <c r="F2" i="2" l="1"/>
  <c r="F3" i="2" l="1"/>
  <c r="D4" i="7"/>
  <c r="D6" i="7" l="1"/>
</calcChain>
</file>

<file path=xl/sharedStrings.xml><?xml version="1.0" encoding="utf-8"?>
<sst xmlns="http://schemas.openxmlformats.org/spreadsheetml/2006/main" count="44" uniqueCount="37">
  <si>
    <t>Campo</t>
  </si>
  <si>
    <t>Informação</t>
  </si>
  <si>
    <t>Nome Completo</t>
  </si>
  <si>
    <t>CPF</t>
  </si>
  <si>
    <t>Data de Nascimento</t>
  </si>
  <si>
    <t>Título de Eleitor</t>
  </si>
  <si>
    <t>Endereço Completo</t>
  </si>
  <si>
    <t>Estado Civil</t>
  </si>
  <si>
    <t>Profissão</t>
  </si>
  <si>
    <t>Quantidade de Dependentes</t>
  </si>
  <si>
    <t>Ano-Calendário</t>
  </si>
  <si>
    <t>Fonte</t>
  </si>
  <si>
    <t>Fonte Pagadora</t>
  </si>
  <si>
    <t>Valor Bruto</t>
  </si>
  <si>
    <t>INSS</t>
  </si>
  <si>
    <t>IR Retido</t>
  </si>
  <si>
    <t>Descrição</t>
  </si>
  <si>
    <t>Valor</t>
  </si>
  <si>
    <t>Tipo de Despesa</t>
  </si>
  <si>
    <t>Beneficiário</t>
  </si>
  <si>
    <t xml:space="preserve"> </t>
  </si>
  <si>
    <t>Tipo de Bem</t>
  </si>
  <si>
    <t>Data de Aquisição</t>
  </si>
  <si>
    <t>Indicador</t>
  </si>
  <si>
    <t>Total de Rendimentos</t>
  </si>
  <si>
    <t>Total de Despesas Dedutíveis</t>
  </si>
  <si>
    <t>Base de Cálculo</t>
  </si>
  <si>
    <t>Imposto Retido</t>
  </si>
  <si>
    <t>Imposto a Pagar ou Restituir</t>
  </si>
  <si>
    <t>Salário</t>
  </si>
  <si>
    <t>Valor Liquido</t>
  </si>
  <si>
    <t>Base de Calculo do IRRF</t>
  </si>
  <si>
    <t>Calculos</t>
  </si>
  <si>
    <t>Dependentes</t>
  </si>
  <si>
    <t>Filho</t>
  </si>
  <si>
    <t>Casa</t>
  </si>
  <si>
    <t>moradia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</si>
</sst>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\.000\.000\-00"/>
    <numFmt numFmtId="165" formatCode="&quot;R$&quot;\ 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165" fontId="0" fillId="0" borderId="0" xfId="1" applyNumberFormat="1" applyFont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17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16">
    <dxf>
      <alignment horizontal="left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</dxf>
    <dxf>
      <numFmt numFmtId="165" formatCode="&quot;R$&quot;\ #,##0.00"/>
    </dxf>
    <dxf>
      <numFmt numFmtId="165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R$&quot;\ #,##0.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6" name="AutoShape 2" descr="Lion Head Logo PNG Transparent Background, Free Download #37122 ...">
          <a:extLst>
            <a:ext uri="{FF2B5EF4-FFF2-40B4-BE49-F238E27FC236}">
              <a16:creationId xmlns:a16="http://schemas.microsoft.com/office/drawing/2014/main" id="{50F3CF5C-43E6-2414-8FA6-DB7A1BC6F72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55283-C2C7-455A-AD11-E00A58E21A0A}" name="Tabela1" displayName="Tabela1" ref="C1:D10" totalsRowShown="0">
  <autoFilter ref="C1:D10" xr:uid="{2C155283-C2C7-455A-AD11-E00A58E21A0A}">
    <filterColumn colId="0" hiddenButton="1"/>
    <filterColumn colId="1" hiddenButton="1"/>
  </autoFilter>
  <tableColumns count="2">
    <tableColumn id="1" xr3:uid="{7741C9D4-C88B-4E2A-9E51-6A60D677D06C}" name="Campo"/>
    <tableColumn id="2" xr3:uid="{44EFFEC1-6466-491A-AD5B-2BA75068528E}" name="Informação" dataDxfId="0"/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A5EC0D-8DA4-4EB7-AA89-6D26D3C34B32}" name="Tabela3" displayName="Tabela3" ref="A1:F3" dataDxfId="1">
  <autoFilter ref="A1:F3" xr:uid="{3FA5EC0D-8DA4-4EB7-AA89-6D26D3C34B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3" xr3:uid="{8703E684-4922-45A4-BC2F-E20A0C49F44C}" name="Fonte Pagadora" dataDxfId="7"/>
    <tableColumn id="6" xr3:uid="{E48168CA-8D63-4664-AE02-6E0928124E8B}" name="Valor Bruto" dataDxfId="6" dataCellStyle="Moeda"/>
    <tableColumn id="7" xr3:uid="{E3B2E8EE-5F35-4322-9101-8E69763A829F}" name="INSS" dataDxfId="5" dataCellStyle="Moeda"/>
    <tableColumn id="1" xr3:uid="{CBC54ED3-0792-4480-9EF9-606197880278}" name="Base de Calculo do IRRF" dataDxfId="4" dataCellStyle="Moeda">
      <calculatedColumnFormula>Tabela3[[#This Row],[Valor Bruto]]-Tabela3[[#This Row],[INSS]]</calculatedColumnFormula>
    </tableColumn>
    <tableColumn id="8" xr3:uid="{2868B6F8-02D0-47CB-9761-022F4EC5F206}" name="IR Retido" dataDxfId="3">
      <calculatedColumnFormula>IF(D2&lt;=2259.2,0,
IF(D2&lt;=2826.65,D2*0.075-169.44,
IF(D2&lt;=3751.05,D2*0.15-381.44,
IF(D2&lt;=4664.68,D2*0.225-662.77,
D2*0.275-896))))</calculatedColumnFormula>
    </tableColumn>
    <tableColumn id="9" xr3:uid="{7886FF6F-5060-4BD1-8E8A-D93E311E74FE}" name="Valor Liquido" totalsRowFunction="sum" dataDxfId="2" totalsRowDxfId="15" dataCellStyle="Moeda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DADF45-A559-42F9-8D0D-2ECEF3754D0D}" name="Tabela4" displayName="Tabela4" ref="C4:E12" totalsRowShown="0">
  <autoFilter ref="C4:E12" xr:uid="{E9DADF45-A559-42F9-8D0D-2ECEF3754D0D}">
    <filterColumn colId="0" hiddenButton="1"/>
    <filterColumn colId="1" hiddenButton="1"/>
    <filterColumn colId="2" hiddenButton="1"/>
  </autoFilter>
  <tableColumns count="3">
    <tableColumn id="1" xr3:uid="{93251365-B7B2-404A-BBA8-1426DD3B9D1B}" name="Descrição"/>
    <tableColumn id="2" xr3:uid="{FDC3F439-D0A2-4A65-98D3-B18381F15FAF}" name="Fonte"/>
    <tableColumn id="3" xr3:uid="{97D763EF-1DEE-48AA-AE85-AEB4E1E7EC57}" name="Valor" dataDxfId="14" dataCellStyle="Moeda"/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B178B8-553E-42C7-850C-5AC9CA5562BD}" name="Tabela5" displayName="Tabela5" ref="C4:E10" totalsRowShown="0" dataDxfId="13">
  <autoFilter ref="C4:E10" xr:uid="{B2B178B8-553E-42C7-850C-5AC9CA5562BD}">
    <filterColumn colId="0" hiddenButton="1"/>
    <filterColumn colId="1" hiddenButton="1"/>
    <filterColumn colId="2" hiddenButton="1"/>
  </autoFilter>
  <tableColumns count="3">
    <tableColumn id="1" xr3:uid="{C0F87F77-05B6-4CDA-BDBE-F241084209DE}" name="Tipo de Despesa" dataDxfId="12"/>
    <tableColumn id="2" xr3:uid="{FD0E6A08-70AC-499E-9DA8-E1C6914EF989}" name="Beneficiário" dataDxfId="11"/>
    <tableColumn id="4" xr3:uid="{C135F419-0D0E-4664-BD50-A076D986ACA9}" name="Valor" dataDxfId="10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8C2694-8748-4E58-98FD-BAD13386CFDB}" name="Tabela6" displayName="Tabela6" ref="C1:F7" totalsRowShown="0">
  <autoFilter ref="C1:F7" xr:uid="{AB8C2694-8748-4E58-98FD-BAD13386CFDB}">
    <filterColumn colId="0" hiddenButton="1"/>
    <filterColumn colId="1" hiddenButton="1"/>
    <filterColumn colId="2" hiddenButton="1"/>
    <filterColumn colId="3" hiddenButton="1"/>
  </autoFilter>
  <tableColumns count="4">
    <tableColumn id="1" xr3:uid="{AEC27163-F4F3-4C58-8479-866E5DDA709D}" name="Tipo de Bem"/>
    <tableColumn id="2" xr3:uid="{5ECE8D6F-9C68-431D-8E5B-B564C47BF662}" name="Descrição"/>
    <tableColumn id="3" xr3:uid="{DCCE5C38-FC65-4EF1-AC5B-68E2CC4F0920}" name="Data de Aquisição"/>
    <tableColumn id="4" xr3:uid="{9838E45A-4801-4914-B85A-86C0C8521E69}" name="Valor" dataDxfId="9" dataCellStyle="Moeda"/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5C6AFE-67F4-4D0E-BEA8-6BFECD6CF39C}" name="Tabela9" displayName="Tabela9" ref="C1:D6" totalsRowShown="0">
  <autoFilter ref="C1:D6" xr:uid="{C25C6AFE-67F4-4D0E-BEA8-6BFECD6CF39C}">
    <filterColumn colId="0" hiddenButton="1"/>
    <filterColumn colId="1" hiddenButton="1"/>
  </autoFilter>
  <tableColumns count="2">
    <tableColumn id="1" xr3:uid="{8FD465E7-AD3E-41C8-B497-6B5211C6DC5D}" name="Indicador"/>
    <tableColumn id="2" xr3:uid="{822005E2-62C8-493C-8968-CC059E6CF1D8}" name="Valor" dataDxfId="8" dataCellStyle="Moeda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4056-8CEB-446A-91FA-2F5BC0F3DCBF}">
  <dimension ref="C1:D10"/>
  <sheetViews>
    <sheetView showGridLines="0" workbookViewId="0">
      <selection activeCell="D9" sqref="D9"/>
    </sheetView>
  </sheetViews>
  <sheetFormatPr defaultRowHeight="14.4"/>
  <cols>
    <col min="3" max="3" width="27" bestFit="1" customWidth="1"/>
    <col min="4" max="4" width="49.88671875" bestFit="1" customWidth="1"/>
  </cols>
  <sheetData>
    <row r="1" spans="3:4">
      <c r="C1" t="s">
        <v>0</v>
      </c>
      <c r="D1" t="s">
        <v>1</v>
      </c>
    </row>
    <row r="2" spans="3:4">
      <c r="C2" t="s">
        <v>2</v>
      </c>
      <c r="D2" s="6"/>
    </row>
    <row r="3" spans="3:4">
      <c r="C3" t="s">
        <v>3</v>
      </c>
      <c r="D3" s="7"/>
    </row>
    <row r="4" spans="3:4">
      <c r="C4" t="s">
        <v>4</v>
      </c>
      <c r="D4" s="8"/>
    </row>
    <row r="5" spans="3:4">
      <c r="C5" t="s">
        <v>5</v>
      </c>
      <c r="D5" s="9"/>
    </row>
    <row r="6" spans="3:4">
      <c r="C6" t="s">
        <v>6</v>
      </c>
      <c r="D6" s="6"/>
    </row>
    <row r="7" spans="3:4">
      <c r="C7" t="s">
        <v>7</v>
      </c>
      <c r="D7" s="6"/>
    </row>
    <row r="8" spans="3:4">
      <c r="C8" t="s">
        <v>8</v>
      </c>
      <c r="D8" s="6"/>
    </row>
    <row r="9" spans="3:4">
      <c r="C9" t="s">
        <v>9</v>
      </c>
      <c r="D9" s="6"/>
    </row>
    <row r="10" spans="3:4">
      <c r="C10" t="s">
        <v>10</v>
      </c>
      <c r="D10" s="6"/>
    </row>
  </sheetData>
  <sheetProtection algorithmName="SHA-512" hashValue="cFF6WCKDuKJkjSLhEB9nhcQyeHveUfdv8w9BRETji6vgyQB+/NDxabnfQ5dxeoR1zhgCfai030KIRvC/AaxBWQ==" saltValue="kQGWgxE7ZdgiaPewCETK3A==" spinCount="100000" sheet="1" objects="1" scenarios="1" selectLockedCells="1"/>
  <dataValidations count="2">
    <dataValidation type="list" allowBlank="1" showInputMessage="1" showErrorMessage="1" sqref="D7" xr:uid="{9217FD22-3B59-4721-9E0F-A49E04657256}">
      <formula1>"Solteiro,Casado,Divorciado,Viúvo,União Estável"</formula1>
    </dataValidation>
    <dataValidation type="whole" allowBlank="1" showInputMessage="1" showErrorMessage="1" sqref="D10" xr:uid="{F3F79F9F-933A-4B88-9C5B-B4619F49A456}">
      <formula1>2015</formula1>
      <formula2>2025</formula2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0C3F-7866-4458-8B4B-66530C7100F5}">
  <dimension ref="A1:F3"/>
  <sheetViews>
    <sheetView showGridLines="0" workbookViewId="0">
      <selection activeCell="B2" sqref="B2"/>
    </sheetView>
  </sheetViews>
  <sheetFormatPr defaultRowHeight="14.4"/>
  <cols>
    <col min="1" max="1" width="17" customWidth="1"/>
    <col min="2" max="2" width="13" customWidth="1"/>
    <col min="3" max="3" width="9" bestFit="1" customWidth="1"/>
    <col min="4" max="4" width="20.88671875" bestFit="1" customWidth="1"/>
    <col min="5" max="5" width="14.109375" customWidth="1"/>
    <col min="6" max="6" width="14.88671875" customWidth="1"/>
  </cols>
  <sheetData>
    <row r="1" spans="1:6">
      <c r="A1" t="s">
        <v>12</v>
      </c>
      <c r="B1" t="s">
        <v>13</v>
      </c>
      <c r="C1" t="s">
        <v>14</v>
      </c>
      <c r="D1" t="s">
        <v>31</v>
      </c>
      <c r="E1" t="s">
        <v>15</v>
      </c>
      <c r="F1" t="s">
        <v>30</v>
      </c>
    </row>
    <row r="2" spans="1:6">
      <c r="A2" s="1" t="s">
        <v>29</v>
      </c>
      <c r="B2" s="10">
        <v>5000</v>
      </c>
      <c r="C2" s="3">
        <f>IF(B2&lt;=1518, B2*0.075, IF(B2&lt;=2793.88, (B2*0.09)-22.77, IF(B2&lt;=4190.83, (B2*0.12)-106.59, IF(B2&lt;=8157.41, (B2*0.14)-190.4, 951.62))))</f>
        <v>509.60000000000014</v>
      </c>
      <c r="D2" s="3">
        <f>Tabela3[[#This Row],[Valor Bruto]]-Tabela3[[#This Row],[INSS]]</f>
        <v>4490.3999999999996</v>
      </c>
      <c r="E2" s="5">
        <f>IF(D2&lt;=2259.2,0,
IF(D2&lt;=2826.65,D2*0.075-169.44,
IF(D2&lt;=3751.05,D2*0.15-381.44,
IF(D2&lt;=4664.68,D2*0.225-662.77,
D2*0.275-896))))</f>
        <v>347.56999999999994</v>
      </c>
      <c r="F2" s="3">
        <f>B2-C2-E2</f>
        <v>4142.83</v>
      </c>
    </row>
    <row r="3" spans="1:6">
      <c r="A3" s="1" t="s">
        <v>32</v>
      </c>
      <c r="B3" s="3">
        <f>SUM(B2:B2)</f>
        <v>5000</v>
      </c>
      <c r="C3" s="3">
        <f>SUM(C2:C2)</f>
        <v>509.60000000000014</v>
      </c>
      <c r="D3" s="3">
        <f>Tabela3[[#This Row],[Valor Bruto]]-Tabela3[[#This Row],[INSS]]</f>
        <v>4490.3999999999996</v>
      </c>
      <c r="E3" s="5">
        <f t="shared" ref="E3" si="0">IF(D3&lt;=2259.2,0,
IF(D3&lt;=2826.65,D3*0.075-169.44,
IF(D3&lt;=3751.05,D3*0.15-381.44,
IF(D3&lt;=4664.68,D3*0.225-662.77,
D3*0.275-896))))</f>
        <v>347.56999999999994</v>
      </c>
      <c r="F3" s="3">
        <f>SUM(F2:F2)</f>
        <v>4142.83</v>
      </c>
    </row>
  </sheetData>
  <sheetProtection algorithmName="SHA-512" hashValue="HnfVMh92BsAjPo0XV8FsL4PjDeCkABPfk90IYGGy+sMfVWpyxS5TDZSQ6n1umxmeUUbX+Z33RgtRu1dai57Y0g==" saltValue="9K2HnkJZJdLIbpFh+v1Rsg==" spinCount="100000" sheet="1" objects="1" scenarios="1" selectLockedCell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FBD7-92A5-4711-B760-AB5F1F7E810E}">
  <dimension ref="C4:E12"/>
  <sheetViews>
    <sheetView showGridLines="0" workbookViewId="0">
      <selection activeCell="E8" sqref="E8"/>
    </sheetView>
  </sheetViews>
  <sheetFormatPr defaultRowHeight="14.4"/>
  <cols>
    <col min="3" max="3" width="12" customWidth="1"/>
    <col min="4" max="4" width="8" customWidth="1"/>
  </cols>
  <sheetData>
    <row r="4" spans="3:5">
      <c r="C4" t="s">
        <v>16</v>
      </c>
      <c r="D4" t="s">
        <v>11</v>
      </c>
      <c r="E4" t="s">
        <v>17</v>
      </c>
    </row>
    <row r="5" spans="3:5">
      <c r="E5" s="11"/>
    </row>
    <row r="6" spans="3:5">
      <c r="E6" s="11"/>
    </row>
    <row r="7" spans="3:5">
      <c r="E7" s="11"/>
    </row>
    <row r="8" spans="3:5">
      <c r="E8" s="11"/>
    </row>
    <row r="9" spans="3:5">
      <c r="E9" s="11"/>
    </row>
    <row r="10" spans="3:5">
      <c r="E10" s="11"/>
    </row>
    <row r="11" spans="3:5">
      <c r="E11" s="11"/>
    </row>
    <row r="12" spans="3:5">
      <c r="E12" s="2">
        <f>SUM(E5:E11)</f>
        <v>0</v>
      </c>
    </row>
  </sheetData>
  <sheetProtection algorithmName="SHA-512" hashValue="AYVnItMHZ1QfrWf4ycxMbLLPwifHmHUUPkLnDqiwG2CFR+lGXogDV1n1zey8IkjbsjYyRVZsCBL+0MVXp0t4rw==" saltValue="SRL8crRxyezzNh3TghoePQ==" spinCount="100000" sheet="1" objects="1" scenarios="1" selectLockedCell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EBF-9F56-45B0-A3EB-522ABBF9B041}">
  <dimension ref="C4:E10"/>
  <sheetViews>
    <sheetView showGridLines="0" workbookViewId="0">
      <selection activeCell="E5" sqref="E5:E9"/>
    </sheetView>
  </sheetViews>
  <sheetFormatPr defaultRowHeight="14.4"/>
  <cols>
    <col min="3" max="3" width="18.6640625" bestFit="1" customWidth="1"/>
    <col min="4" max="4" width="13.6640625" customWidth="1"/>
    <col min="5" max="5" width="10.109375" customWidth="1"/>
  </cols>
  <sheetData>
    <row r="4" spans="3:5">
      <c r="C4" t="s">
        <v>18</v>
      </c>
      <c r="D4" t="s">
        <v>19</v>
      </c>
      <c r="E4" t="s">
        <v>17</v>
      </c>
    </row>
    <row r="5" spans="3:5">
      <c r="C5" s="1" t="s">
        <v>33</v>
      </c>
      <c r="D5" s="1" t="s">
        <v>34</v>
      </c>
      <c r="E5" s="12">
        <v>662</v>
      </c>
    </row>
    <row r="6" spans="3:5">
      <c r="C6" s="1"/>
      <c r="D6" s="1"/>
      <c r="E6" s="12" t="s">
        <v>20</v>
      </c>
    </row>
    <row r="7" spans="3:5">
      <c r="C7" s="1"/>
      <c r="D7" s="1"/>
      <c r="E7" s="12" t="s">
        <v>20</v>
      </c>
    </row>
    <row r="8" spans="3:5">
      <c r="C8" s="1"/>
      <c r="D8" s="1"/>
      <c r="E8" s="12"/>
    </row>
    <row r="9" spans="3:5">
      <c r="C9" s="1"/>
      <c r="D9" s="1"/>
      <c r="E9" s="12"/>
    </row>
    <row r="10" spans="3:5">
      <c r="C10" s="1"/>
      <c r="D10" s="1"/>
      <c r="E10" s="4">
        <f>SUM(E5:E9)</f>
        <v>662</v>
      </c>
    </row>
  </sheetData>
  <sheetProtection algorithmName="SHA-512" hashValue="6s6kEQojVCY+OOK4auSosy+zrpYl9Xj9KwKjA7FN5kNhCNPkpyj0i5g3Oo0Ik4ozRlZWTXT6/9WSdHcUdQ3A9A==" saltValue="YKbBIdIhYjoyzAhO1HBcog==" spinCount="100000" sheet="1" objects="1" scenarios="1" selectLockedCell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F385-8FBC-479D-A4DD-FF1531F61936}">
  <dimension ref="C1:F7"/>
  <sheetViews>
    <sheetView showGridLines="0" workbookViewId="0">
      <selection activeCell="F2" sqref="F2"/>
    </sheetView>
  </sheetViews>
  <sheetFormatPr defaultRowHeight="14.4"/>
  <cols>
    <col min="3" max="3" width="14.6640625" bestFit="1" customWidth="1"/>
    <col min="4" max="4" width="12" customWidth="1"/>
    <col min="5" max="5" width="19.109375" customWidth="1"/>
    <col min="6" max="6" width="12.5546875" bestFit="1" customWidth="1"/>
  </cols>
  <sheetData>
    <row r="1" spans="3:6">
      <c r="C1" t="s">
        <v>21</v>
      </c>
      <c r="D1" t="s">
        <v>16</v>
      </c>
      <c r="E1" t="s">
        <v>22</v>
      </c>
      <c r="F1" t="s">
        <v>17</v>
      </c>
    </row>
    <row r="2" spans="3:6">
      <c r="C2" s="1" t="s">
        <v>35</v>
      </c>
      <c r="D2" s="1" t="s">
        <v>36</v>
      </c>
      <c r="E2" s="13">
        <v>45231</v>
      </c>
      <c r="F2" s="10">
        <v>160000</v>
      </c>
    </row>
    <row r="3" spans="3:6">
      <c r="F3" s="2" t="s">
        <v>20</v>
      </c>
    </row>
    <row r="4" spans="3:6">
      <c r="F4" s="2" t="s">
        <v>20</v>
      </c>
    </row>
    <row r="5" spans="3:6">
      <c r="F5" s="2"/>
    </row>
    <row r="6" spans="3:6">
      <c r="F6" s="2"/>
    </row>
    <row r="7" spans="3:6">
      <c r="F7" s="2">
        <f>SUM(F2:F6)</f>
        <v>160000</v>
      </c>
    </row>
  </sheetData>
  <sheetProtection algorithmName="SHA-512" hashValue="W9r7SbvFu1q72VyJ7M3uumrhsufyDm1Y2aphH0hHfOYpP9uRvgDY6gvCcuVojLkGOMLZgs0kVljGGE73JBsfUw==" saltValue="XM2GhSwrQals8BV1D7aXlg==" spinCount="100000" sheet="1" objects="1" scenarios="1" selectLockedCell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1077-3C4F-4DCD-8DA3-C4AB1B1AC22B}">
  <dimension ref="C1:D6"/>
  <sheetViews>
    <sheetView showGridLines="0" tabSelected="1" workbookViewId="0">
      <selection activeCell="C2" sqref="C2:D6"/>
    </sheetView>
  </sheetViews>
  <sheetFormatPr defaultRowHeight="14.4"/>
  <cols>
    <col min="3" max="3" width="27.109375" bestFit="1" customWidth="1"/>
    <col min="4" max="4" width="23.21875" customWidth="1"/>
  </cols>
  <sheetData>
    <row r="1" spans="3:4">
      <c r="C1" t="s">
        <v>23</v>
      </c>
      <c r="D1" t="s">
        <v>17</v>
      </c>
    </row>
    <row r="2" spans="3:4">
      <c r="C2" t="s">
        <v>24</v>
      </c>
      <c r="D2" s="3">
        <f>Tabela3[[#This Row],[Valor Bruto]]</f>
        <v>5000</v>
      </c>
    </row>
    <row r="3" spans="3:4">
      <c r="C3" t="s">
        <v>25</v>
      </c>
      <c r="D3" s="3">
        <f>'Despesas Dedutíveis'!E5</f>
        <v>662</v>
      </c>
    </row>
    <row r="4" spans="3:4">
      <c r="C4" t="s">
        <v>26</v>
      </c>
      <c r="D4" s="3">
        <f>D2-D3</f>
        <v>4338</v>
      </c>
    </row>
    <row r="5" spans="3:4">
      <c r="C5" t="s">
        <v>27</v>
      </c>
      <c r="D5" s="3">
        <f>SUM('Rendimentos Tributáveis'!E:E)</f>
        <v>695.13999999999987</v>
      </c>
    </row>
    <row r="6" spans="3:4">
      <c r="C6" t="s">
        <v>28</v>
      </c>
      <c r="D6" s="3">
        <f>D4-D5</f>
        <v>3642.86</v>
      </c>
    </row>
  </sheetData>
  <sheetProtection algorithmName="SHA-512" hashValue="t2eyjp4bsE6l2gXWaLH9Il5h2gg8oPniRjlmsw2O1hgIu4TDL2wdHZPfejU+UVd8qYl1tddJc2ZtYmMP6J0Tdg==" saltValue="PlNdbPeLcN4UNBmdEkLK4w==" spinCount="100000" sheet="1" objects="1" scenarios="1" selectLockedCell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 do Contribuinte</vt:lpstr>
      <vt:lpstr>Rendimentos Tributáveis</vt:lpstr>
      <vt:lpstr>Rend. isentos e não tributáveis</vt:lpstr>
      <vt:lpstr>Despesas Dedutíveis</vt:lpstr>
      <vt:lpstr>Bens e Direitos</vt:lpstr>
      <vt:lpstr>Resumos Gerais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Pelliser</dc:creator>
  <cp:lastModifiedBy>Edu Pelliser</cp:lastModifiedBy>
  <dcterms:created xsi:type="dcterms:W3CDTF">2025-12-21T23:04:58Z</dcterms:created>
  <dcterms:modified xsi:type="dcterms:W3CDTF">2025-12-23T14:35:47Z</dcterms:modified>
</cp:coreProperties>
</file>